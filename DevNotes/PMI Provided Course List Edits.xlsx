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Dell\Documents\SchedulePro\DevNotes\"/>
    </mc:Choice>
  </mc:AlternateContent>
  <xr:revisionPtr revIDLastSave="0" documentId="13_ncr:1_{86AAA972-C59A-44CC-AD2F-6417485B7F36}" xr6:coauthVersionLast="47" xr6:coauthVersionMax="47" xr10:uidLastSave="{00000000-0000-0000-0000-000000000000}"/>
  <bookViews>
    <workbookView xWindow="-56430" yWindow="1290" windowWidth="20130" windowHeight="13500" tabRatio="882" firstSheet="2" activeTab="11" xr2:uid="{E7EE0092-2BA9-4A50-8785-723FB1934021}"/>
  </bookViews>
  <sheets>
    <sheet name="Original Data" sheetId="1" r:id="rId1"/>
    <sheet name="Courses" sheetId="2" r:id="rId2"/>
    <sheet name="Unique Courses Dyna" sheetId="3" r:id="rId3"/>
    <sheet name="Unique Courses Static" sheetId="4" r:id="rId4"/>
    <sheet name="CourseList0.0" sheetId="5" r:id="rId5"/>
    <sheet name="CourseList0.1" sheetId="10" r:id="rId6"/>
    <sheet name="CourseList0.2" sheetId="11" r:id="rId7"/>
    <sheet name="CourseList0.3" sheetId="13" r:id="rId8"/>
    <sheet name="Instructor Check" sheetId="7" r:id="rId9"/>
    <sheet name="Course Check" sheetId="9" r:id="rId10"/>
    <sheet name="dev notes" sheetId="12" r:id="rId11"/>
    <sheet name="Important Notes" sheetId="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a="1"/>
  <c r="A3" i="7" s="1"/>
  <c r="G1" i="5" a="1"/>
  <c r="G1" i="5" s="1"/>
  <c r="A1" i="10" a="1"/>
  <c r="A1" i="10" s="1"/>
  <c r="A3" i="9" l="1" a="1"/>
  <c r="A3" i="9" s="1"/>
  <c r="A1" i="3" a="1"/>
  <c r="A1" i="3" s="1"/>
  <c r="S265" i="1" l="1"/>
  <c r="R265" i="1"/>
  <c r="Q265" i="1"/>
  <c r="S264" i="1"/>
  <c r="R264" i="1"/>
  <c r="Q264" i="1"/>
  <c r="S263" i="1"/>
  <c r="R263" i="1"/>
  <c r="Q263" i="1"/>
  <c r="S262" i="1"/>
  <c r="R262" i="1"/>
  <c r="Q262" i="1"/>
  <c r="S261" i="1"/>
  <c r="R261" i="1"/>
  <c r="Q261" i="1"/>
  <c r="S260" i="1"/>
  <c r="R260" i="1"/>
  <c r="Q260" i="1"/>
  <c r="S259" i="1"/>
  <c r="R259" i="1"/>
  <c r="Q259" i="1"/>
  <c r="S258" i="1"/>
  <c r="R258" i="1"/>
  <c r="Q258" i="1"/>
  <c r="S257" i="1"/>
  <c r="R257" i="1"/>
  <c r="Q257" i="1"/>
  <c r="S256" i="1"/>
  <c r="R256" i="1"/>
  <c r="Q256" i="1"/>
  <c r="S255" i="1"/>
  <c r="R255" i="1"/>
  <c r="Q255" i="1"/>
  <c r="S254" i="1"/>
  <c r="R254" i="1"/>
  <c r="Q254" i="1"/>
  <c r="S253" i="1"/>
  <c r="R253" i="1"/>
  <c r="Q253" i="1"/>
  <c r="S252" i="1"/>
  <c r="R252" i="1"/>
  <c r="Q252" i="1"/>
  <c r="S251" i="1"/>
  <c r="R251" i="1"/>
  <c r="Q251" i="1"/>
  <c r="S247" i="1"/>
  <c r="R247" i="1"/>
  <c r="Q247"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6" i="1"/>
  <c r="R236" i="1"/>
  <c r="Q236" i="1"/>
  <c r="S235" i="1"/>
  <c r="R235" i="1"/>
  <c r="Q235" i="1"/>
  <c r="S234" i="1"/>
  <c r="R234" i="1"/>
  <c r="Q234" i="1"/>
  <c r="S233" i="1"/>
  <c r="R233" i="1"/>
  <c r="Q233" i="1"/>
  <c r="S232" i="1"/>
  <c r="R232" i="1"/>
  <c r="Q232" i="1"/>
  <c r="S231" i="1"/>
  <c r="R231" i="1"/>
  <c r="Q231" i="1"/>
  <c r="S230" i="1"/>
  <c r="R230" i="1"/>
  <c r="Q230" i="1"/>
  <c r="S229" i="1"/>
  <c r="R229" i="1"/>
  <c r="Q229" i="1"/>
  <c r="S228" i="1"/>
  <c r="R228" i="1"/>
  <c r="Q228" i="1"/>
  <c r="S227" i="1"/>
  <c r="R227" i="1"/>
  <c r="Q227" i="1"/>
  <c r="S226" i="1"/>
  <c r="R226" i="1"/>
  <c r="Q226" i="1"/>
  <c r="S225" i="1"/>
  <c r="R225" i="1"/>
  <c r="Q225" i="1"/>
  <c r="S224" i="1"/>
  <c r="R224" i="1"/>
  <c r="Q224" i="1"/>
  <c r="S223" i="1"/>
  <c r="R223" i="1"/>
  <c r="Q223" i="1"/>
  <c r="S222" i="1"/>
  <c r="R222" i="1"/>
  <c r="Q222" i="1"/>
  <c r="Q248" i="1" s="1"/>
  <c r="S221" i="1"/>
  <c r="S248" i="1" s="1"/>
  <c r="R221" i="1"/>
  <c r="R248" i="1" s="1"/>
  <c r="Q221" i="1"/>
  <c r="S220" i="1"/>
  <c r="R220" i="1"/>
  <c r="Q220" i="1"/>
  <c r="S218" i="1"/>
  <c r="S217" i="1"/>
  <c r="R217" i="1"/>
  <c r="Q217" i="1"/>
  <c r="S216" i="1"/>
  <c r="R216" i="1"/>
  <c r="Q216" i="1"/>
  <c r="S215" i="1"/>
  <c r="R215" i="1"/>
  <c r="Q215" i="1"/>
  <c r="S214" i="1"/>
  <c r="R214" i="1"/>
  <c r="Q214" i="1"/>
  <c r="S213" i="1"/>
  <c r="R213" i="1"/>
  <c r="R218" i="1" s="1"/>
  <c r="Q213" i="1"/>
  <c r="Q218" i="1" s="1"/>
  <c r="S209" i="1"/>
  <c r="R209" i="1"/>
  <c r="Q209" i="1"/>
  <c r="S208" i="1"/>
  <c r="R208" i="1"/>
  <c r="Q208" i="1"/>
  <c r="S207" i="1"/>
  <c r="R207" i="1"/>
  <c r="Q207" i="1"/>
  <c r="S206" i="1"/>
  <c r="R206" i="1"/>
  <c r="Q206" i="1"/>
  <c r="S205" i="1"/>
  <c r="R205" i="1"/>
  <c r="Q205" i="1"/>
  <c r="S204" i="1"/>
  <c r="R204" i="1"/>
  <c r="Q204" i="1"/>
  <c r="S203" i="1"/>
  <c r="R203" i="1"/>
  <c r="Q203" i="1"/>
  <c r="S202" i="1"/>
  <c r="R202" i="1"/>
  <c r="Q202" i="1"/>
  <c r="S201" i="1"/>
  <c r="R201" i="1"/>
  <c r="Q201" i="1"/>
  <c r="S200" i="1"/>
  <c r="R200" i="1"/>
  <c r="Q200" i="1"/>
  <c r="S199" i="1"/>
  <c r="R199" i="1"/>
  <c r="Q199" i="1"/>
  <c r="S198" i="1"/>
  <c r="R198" i="1"/>
  <c r="Q198" i="1"/>
  <c r="S197" i="1"/>
  <c r="R197" i="1"/>
  <c r="Q197" i="1"/>
  <c r="S196" i="1"/>
  <c r="R196" i="1"/>
  <c r="Q196" i="1"/>
  <c r="S195" i="1"/>
  <c r="R195" i="1"/>
  <c r="Q195" i="1"/>
  <c r="S194" i="1"/>
  <c r="R194" i="1"/>
  <c r="Q194" i="1"/>
  <c r="S193" i="1"/>
  <c r="R193" i="1"/>
  <c r="Q193" i="1"/>
  <c r="S192" i="1"/>
  <c r="S210" i="1" s="1"/>
  <c r="R192" i="1"/>
  <c r="R210" i="1" s="1"/>
  <c r="Q192" i="1"/>
  <c r="Q210" i="1" s="1"/>
  <c r="S188" i="1"/>
  <c r="R188" i="1"/>
  <c r="Q188" i="1"/>
  <c r="S187" i="1"/>
  <c r="R187" i="1"/>
  <c r="Q187" i="1"/>
  <c r="S186" i="1"/>
  <c r="R186" i="1"/>
  <c r="Q186" i="1"/>
  <c r="S185" i="1"/>
  <c r="R185" i="1"/>
  <c r="Q185" i="1"/>
  <c r="S184" i="1"/>
  <c r="R184" i="1"/>
  <c r="Q184" i="1"/>
  <c r="S183" i="1"/>
  <c r="R183" i="1"/>
  <c r="Q183" i="1"/>
  <c r="S182" i="1"/>
  <c r="R182" i="1"/>
  <c r="Q182" i="1"/>
  <c r="S181" i="1"/>
  <c r="R181" i="1"/>
  <c r="Q181" i="1"/>
  <c r="S180" i="1"/>
  <c r="R180" i="1"/>
  <c r="Q180" i="1"/>
  <c r="S179" i="1"/>
  <c r="R179" i="1"/>
  <c r="Q179" i="1"/>
  <c r="S178" i="1"/>
  <c r="R178" i="1"/>
  <c r="Q178" i="1"/>
  <c r="S177" i="1"/>
  <c r="R177" i="1"/>
  <c r="Q177" i="1"/>
  <c r="S176" i="1"/>
  <c r="R176" i="1"/>
  <c r="Q176" i="1"/>
  <c r="S175" i="1"/>
  <c r="R175" i="1"/>
  <c r="Q175" i="1"/>
  <c r="S174" i="1"/>
  <c r="S189" i="1" s="1"/>
  <c r="R174" i="1"/>
  <c r="R189" i="1" s="1"/>
  <c r="Q174" i="1"/>
  <c r="Q189" i="1" s="1"/>
  <c r="R171" i="1"/>
  <c r="S170" i="1"/>
  <c r="R170" i="1"/>
  <c r="Q170" i="1"/>
  <c r="S169" i="1"/>
  <c r="S171" i="1" s="1"/>
  <c r="R169" i="1"/>
  <c r="Q169" i="1"/>
  <c r="Q171" i="1" s="1"/>
  <c r="S165" i="1"/>
  <c r="R165" i="1"/>
  <c r="Q165" i="1"/>
  <c r="S164" i="1"/>
  <c r="R164" i="1"/>
  <c r="Q164" i="1"/>
  <c r="S163" i="1"/>
  <c r="R163" i="1"/>
  <c r="Q163" i="1"/>
  <c r="S162" i="1"/>
  <c r="R162" i="1"/>
  <c r="Q162" i="1"/>
  <c r="S161" i="1"/>
  <c r="R161" i="1"/>
  <c r="Q161" i="1"/>
  <c r="S160" i="1"/>
  <c r="R160" i="1"/>
  <c r="Q160" i="1"/>
  <c r="S159" i="1"/>
  <c r="R159" i="1"/>
  <c r="Q159" i="1"/>
  <c r="S158" i="1"/>
  <c r="R158" i="1"/>
  <c r="Q158" i="1"/>
  <c r="S157" i="1"/>
  <c r="R157" i="1"/>
  <c r="Q157" i="1"/>
  <c r="S156" i="1"/>
  <c r="R156" i="1"/>
  <c r="Q156" i="1"/>
  <c r="S155" i="1"/>
  <c r="R155" i="1"/>
  <c r="Q155" i="1"/>
  <c r="S154" i="1"/>
  <c r="S166" i="1" s="1"/>
  <c r="R154" i="1"/>
  <c r="Q154" i="1"/>
  <c r="S153" i="1"/>
  <c r="R153" i="1"/>
  <c r="R166" i="1" s="1"/>
  <c r="Q153" i="1"/>
  <c r="Q166" i="1" s="1"/>
  <c r="Q151" i="1"/>
  <c r="S150" i="1"/>
  <c r="R150" i="1"/>
  <c r="Q150" i="1"/>
  <c r="S147" i="1"/>
  <c r="S151" i="1" s="1"/>
  <c r="R147" i="1"/>
  <c r="R151" i="1" s="1"/>
  <c r="Q147" i="1"/>
  <c r="S142" i="1"/>
  <c r="R142" i="1"/>
  <c r="Q142" i="1"/>
  <c r="S141" i="1"/>
  <c r="R141" i="1"/>
  <c r="Q141" i="1"/>
  <c r="S140" i="1"/>
  <c r="R140" i="1"/>
  <c r="Q140" i="1"/>
  <c r="S139" i="1"/>
  <c r="R139" i="1"/>
  <c r="Q139" i="1"/>
  <c r="S138" i="1"/>
  <c r="R138" i="1"/>
  <c r="Q138" i="1"/>
  <c r="S137" i="1"/>
  <c r="R137" i="1"/>
  <c r="Q137" i="1"/>
  <c r="S136" i="1"/>
  <c r="R136" i="1"/>
  <c r="Q136" i="1"/>
  <c r="S135" i="1"/>
  <c r="R135" i="1"/>
  <c r="R145" i="1" s="1"/>
  <c r="Q135" i="1"/>
  <c r="S134" i="1"/>
  <c r="R134" i="1"/>
  <c r="Q134" i="1"/>
  <c r="S133" i="1"/>
  <c r="R133" i="1"/>
  <c r="Q133" i="1"/>
  <c r="S132" i="1"/>
  <c r="R132" i="1"/>
  <c r="Q132" i="1"/>
  <c r="S131" i="1"/>
  <c r="R131" i="1"/>
  <c r="Q131" i="1"/>
  <c r="S130" i="1"/>
  <c r="R130" i="1"/>
  <c r="Q130" i="1"/>
  <c r="Q145" i="1" s="1"/>
  <c r="S129" i="1"/>
  <c r="R129" i="1"/>
  <c r="Q129" i="1"/>
  <c r="S128" i="1"/>
  <c r="S145" i="1" s="1"/>
  <c r="R128" i="1"/>
  <c r="Q128" i="1"/>
  <c r="S124" i="1"/>
  <c r="R124" i="1"/>
  <c r="Q124" i="1"/>
  <c r="S123" i="1"/>
  <c r="R123" i="1"/>
  <c r="Q123" i="1"/>
  <c r="S122" i="1"/>
  <c r="R122" i="1"/>
  <c r="Q122" i="1"/>
  <c r="S121" i="1"/>
  <c r="R121" i="1"/>
  <c r="Q121" i="1"/>
  <c r="S120" i="1"/>
  <c r="R120" i="1"/>
  <c r="Q120" i="1"/>
  <c r="S119" i="1"/>
  <c r="R119" i="1"/>
  <c r="Q119" i="1"/>
  <c r="S118" i="1"/>
  <c r="R118" i="1"/>
  <c r="Q118" i="1"/>
  <c r="S117" i="1"/>
  <c r="R117" i="1"/>
  <c r="Q117" i="1"/>
  <c r="S116" i="1"/>
  <c r="R116" i="1"/>
  <c r="Q116" i="1"/>
  <c r="S115" i="1"/>
  <c r="R115" i="1"/>
  <c r="Q115" i="1"/>
  <c r="S114" i="1"/>
  <c r="R114" i="1"/>
  <c r="Q114" i="1"/>
  <c r="S113" i="1"/>
  <c r="R113" i="1"/>
  <c r="Q113" i="1"/>
  <c r="S112" i="1"/>
  <c r="R112" i="1"/>
  <c r="Q112" i="1"/>
  <c r="S111" i="1"/>
  <c r="R111" i="1"/>
  <c r="Q111" i="1"/>
  <c r="S110" i="1"/>
  <c r="R110" i="1"/>
  <c r="Q110" i="1"/>
  <c r="S109" i="1"/>
  <c r="R109" i="1"/>
  <c r="Q109" i="1"/>
  <c r="S108" i="1"/>
  <c r="R108" i="1"/>
  <c r="Q108" i="1"/>
  <c r="S107" i="1"/>
  <c r="R107" i="1"/>
  <c r="Q107" i="1"/>
  <c r="S106" i="1"/>
  <c r="R106" i="1"/>
  <c r="Q106" i="1"/>
  <c r="S105" i="1"/>
  <c r="R105" i="1"/>
  <c r="Q105" i="1"/>
  <c r="S104" i="1"/>
  <c r="R104" i="1"/>
  <c r="Q104" i="1"/>
  <c r="S103" i="1"/>
  <c r="R103" i="1"/>
  <c r="Q103" i="1"/>
  <c r="S102" i="1"/>
  <c r="R102" i="1"/>
  <c r="Q102" i="1"/>
  <c r="S101" i="1"/>
  <c r="R101" i="1"/>
  <c r="R125" i="1" s="1"/>
  <c r="Q101" i="1"/>
  <c r="S100" i="1"/>
  <c r="S125" i="1" s="1"/>
  <c r="R100" i="1"/>
  <c r="Q100" i="1"/>
  <c r="Q125" i="1" s="1"/>
  <c r="S99" i="1"/>
  <c r="R99" i="1"/>
  <c r="Q99" i="1"/>
  <c r="S97" i="1"/>
  <c r="S96" i="1"/>
  <c r="R96" i="1"/>
  <c r="R97" i="1" s="1"/>
  <c r="Q96" i="1"/>
  <c r="S95" i="1"/>
  <c r="R95" i="1"/>
  <c r="Q95" i="1"/>
  <c r="Q97" i="1" s="1"/>
  <c r="S91" i="1"/>
  <c r="R91" i="1"/>
  <c r="Q91" i="1"/>
  <c r="S90" i="1"/>
  <c r="R90" i="1"/>
  <c r="Q90" i="1"/>
  <c r="S89" i="1"/>
  <c r="R89" i="1"/>
  <c r="Q89" i="1"/>
  <c r="S88" i="1"/>
  <c r="R88" i="1"/>
  <c r="Q88" i="1"/>
  <c r="S87" i="1"/>
  <c r="R87" i="1"/>
  <c r="Q87" i="1"/>
  <c r="S86" i="1"/>
  <c r="R86" i="1"/>
  <c r="Q86" i="1"/>
  <c r="S85" i="1"/>
  <c r="R85" i="1"/>
  <c r="Q85" i="1"/>
  <c r="S83" i="1"/>
  <c r="R83" i="1"/>
  <c r="Q83" i="1"/>
  <c r="S81" i="1"/>
  <c r="R81" i="1"/>
  <c r="Q81" i="1"/>
  <c r="S80" i="1"/>
  <c r="R80" i="1"/>
  <c r="Q80" i="1"/>
  <c r="S79" i="1"/>
  <c r="R79" i="1"/>
  <c r="Q79" i="1"/>
  <c r="S78" i="1"/>
  <c r="R78" i="1"/>
  <c r="Q78" i="1"/>
  <c r="S77" i="1"/>
  <c r="S92" i="1" s="1"/>
  <c r="R77" i="1"/>
  <c r="Q77" i="1"/>
  <c r="S76" i="1"/>
  <c r="R76" i="1"/>
  <c r="R92" i="1" s="1"/>
  <c r="Q76" i="1"/>
  <c r="S75" i="1"/>
  <c r="R75" i="1"/>
  <c r="Q75" i="1"/>
  <c r="Q92" i="1" s="1"/>
  <c r="S71" i="1"/>
  <c r="R71" i="1"/>
  <c r="Q71" i="1"/>
  <c r="S70" i="1"/>
  <c r="R70" i="1"/>
  <c r="Q70" i="1"/>
  <c r="S69" i="1"/>
  <c r="R69" i="1"/>
  <c r="Q69" i="1"/>
  <c r="S68" i="1"/>
  <c r="R68" i="1"/>
  <c r="Q68" i="1"/>
  <c r="S67" i="1"/>
  <c r="R67" i="1"/>
  <c r="Q67" i="1"/>
  <c r="S66" i="1"/>
  <c r="R66" i="1"/>
  <c r="Q66" i="1"/>
  <c r="S65" i="1"/>
  <c r="R65" i="1"/>
  <c r="Q65" i="1"/>
  <c r="S64" i="1"/>
  <c r="R64" i="1"/>
  <c r="Q64" i="1"/>
  <c r="S63" i="1"/>
  <c r="R63" i="1"/>
  <c r="Q63" i="1"/>
  <c r="S62" i="1"/>
  <c r="R62" i="1"/>
  <c r="Q62" i="1"/>
  <c r="S61" i="1"/>
  <c r="R61" i="1"/>
  <c r="Q61" i="1"/>
  <c r="S60" i="1"/>
  <c r="R60" i="1"/>
  <c r="Q60" i="1"/>
  <c r="S59" i="1"/>
  <c r="R59" i="1"/>
  <c r="Q59" i="1"/>
  <c r="S58" i="1"/>
  <c r="R58" i="1"/>
  <c r="Q58" i="1"/>
  <c r="S57" i="1"/>
  <c r="R57" i="1"/>
  <c r="Q57" i="1"/>
  <c r="S56" i="1"/>
  <c r="R56" i="1"/>
  <c r="Q56" i="1"/>
  <c r="S55" i="1"/>
  <c r="R55" i="1"/>
  <c r="Q55" i="1"/>
  <c r="S54" i="1"/>
  <c r="R54" i="1"/>
  <c r="Q54" i="1"/>
  <c r="S53" i="1"/>
  <c r="R53" i="1"/>
  <c r="Q53" i="1"/>
  <c r="S52" i="1"/>
  <c r="R52" i="1"/>
  <c r="Q52" i="1"/>
  <c r="S51" i="1"/>
  <c r="S73" i="1" s="1"/>
  <c r="R51" i="1"/>
  <c r="R73" i="1" s="1"/>
  <c r="Q51" i="1"/>
  <c r="Q73" i="1" s="1"/>
  <c r="S47" i="1"/>
  <c r="R47" i="1"/>
  <c r="Q47" i="1"/>
  <c r="S45" i="1"/>
  <c r="R45" i="1"/>
  <c r="Q45" i="1"/>
  <c r="S44" i="1"/>
  <c r="S48" i="1" s="1"/>
  <c r="R44" i="1"/>
  <c r="Q44" i="1"/>
  <c r="S43" i="1"/>
  <c r="R43" i="1"/>
  <c r="R48" i="1" s="1"/>
  <c r="Q43" i="1"/>
  <c r="Q48" i="1" s="1"/>
  <c r="S39" i="1"/>
  <c r="R39" i="1"/>
  <c r="Q39" i="1"/>
  <c r="S38" i="1"/>
  <c r="R38" i="1"/>
  <c r="Q38" i="1"/>
  <c r="S37" i="1"/>
  <c r="R37" i="1"/>
  <c r="Q37" i="1"/>
  <c r="S36" i="1"/>
  <c r="R36" i="1"/>
  <c r="Q36" i="1"/>
  <c r="S35" i="1"/>
  <c r="R35" i="1"/>
  <c r="Q35" i="1"/>
  <c r="S34" i="1"/>
  <c r="R34" i="1"/>
  <c r="Q34" i="1"/>
  <c r="S33" i="1"/>
  <c r="R33" i="1"/>
  <c r="Q33" i="1"/>
  <c r="S32" i="1"/>
  <c r="R32" i="1"/>
  <c r="Q32" i="1"/>
  <c r="S31" i="1"/>
  <c r="R31" i="1"/>
  <c r="Q31" i="1"/>
  <c r="S30" i="1"/>
  <c r="R30" i="1"/>
  <c r="Q30" i="1"/>
  <c r="S29" i="1"/>
  <c r="R29" i="1"/>
  <c r="Q29" i="1"/>
  <c r="S28" i="1"/>
  <c r="R28" i="1"/>
  <c r="Q28" i="1"/>
  <c r="S27" i="1"/>
  <c r="R27" i="1"/>
  <c r="Q27" i="1"/>
  <c r="S26" i="1"/>
  <c r="R26" i="1"/>
  <c r="Q26" i="1"/>
  <c r="S25" i="1"/>
  <c r="R25" i="1"/>
  <c r="Q25" i="1"/>
  <c r="S24" i="1"/>
  <c r="R24" i="1"/>
  <c r="Q24" i="1"/>
  <c r="Q40" i="1" s="1"/>
  <c r="S23" i="1"/>
  <c r="R23" i="1"/>
  <c r="Q23" i="1"/>
  <c r="S22" i="1"/>
  <c r="S40" i="1" s="1"/>
  <c r="R22" i="1"/>
  <c r="R40" i="1" s="1"/>
  <c r="Q22" i="1"/>
  <c r="S18" i="1"/>
  <c r="R18" i="1"/>
  <c r="Q18" i="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S3" i="1"/>
  <c r="S19" i="1" s="1"/>
  <c r="R3" i="1"/>
  <c r="R19" i="1" s="1"/>
  <c r="Q3" i="1"/>
  <c r="Q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tc={19029136-CABC-4377-8AFC-371C129EF6FC}</author>
    <author>tc={C55D50F4-AFEC-43CB-8903-48090D84AE2B}</author>
    <author>tc={5DE88907-4638-49BA-ABF1-03B347E4CE52}</author>
    <author>tc={B95E381F-7FD3-4701-AC88-083B155776CD}</author>
    <author>tc={1494941F-29BA-4DBC-8E83-80674982AE71}</author>
    <author>tc={A98203DE-A7C0-448B-A783-9A901A98C950}</author>
    <author>tc={3C3C81C2-41EA-4280-B606-8D31F84DA0D8}</author>
    <author>tc={9CEE9786-5AF8-438F-990A-EA2D833AFDD7}</author>
    <author>tc={4FBBF21B-AB19-40ED-90F8-E2531F4B97A1}</author>
    <author>tc={9E021B03-69B1-404B-86D1-B90835A5535B}</author>
    <author>tc={12D02EBC-1077-43B4-A9D5-C0297870C4A2}</author>
    <author>tc={E2FF933D-A0F0-498C-BBB8-089CBBB7CF42}</author>
    <author>tc={1D8EA12C-365F-4D2A-95C6-A1A5AF5EA6A7}</author>
    <author>tc={4DBE3D3B-9BB0-4197-A87C-107E30FBAA39}</author>
    <author>tc={05F79309-85EA-4081-9D2B-AE765E246396}</author>
    <author>tc={B8967DDC-05AF-4945-940D-F7618F754797}</author>
    <author>tc={0244A608-AAE7-4331-A79B-C1761FCCAA73}</author>
  </authors>
  <commentList>
    <comment ref="J1" authorId="0" shapeId="0" xr:uid="{19029136-CABC-4377-8AFC-371C129EF6FC}">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C55D50F4-AFEC-43CB-8903-48090D84AE2B}">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5DE88907-4638-49BA-ABF1-03B347E4CE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B95E381F-7FD3-4701-AC88-083B155776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1494941F-29BA-4DBC-8E83-80674982AE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A98203DE-A7C0-448B-A783-9A901A98C950}">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3C3C81C2-41EA-4280-B606-8D31F84DA0D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9CEE9786-5AF8-438F-990A-EA2D833AFDD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4FBBF21B-AB19-40ED-90F8-E2531F4B97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9E021B03-69B1-404B-86D1-B90835A5535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12D02EBC-1077-43B4-A9D5-C0297870C4A2}">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E2FF933D-A0F0-498C-BBB8-089CBBB7CF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1D8EA12C-365F-4D2A-95C6-A1A5AF5EA6A7}">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4DBE3D3B-9BB0-4197-A87C-107E30FBAA39}">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05F79309-85EA-4081-9D2B-AE765E24639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B8967DDC-05AF-4945-940D-F7618F754797}">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0244A608-AAE7-4331-A79B-C1761FCCAA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tc={94ED77D9-1FD2-4C23-8BFE-4F93B42A0DE3}</author>
    <author>tc={138B39F2-E825-4EED-AB9D-60F8FB43F55F}</author>
    <author>tc={279E6875-C95A-481A-9A70-590B0497ED78}</author>
    <author>tc={005ABA28-17CF-4568-98F1-6A682611C5E4}</author>
    <author>tc={A8CAEB01-BD61-46BB-9B0A-B9BCED54BF47}</author>
    <author>tc={362A5173-792B-48B9-8EF8-20FBEB01D640}</author>
    <author>tc={03D2C06C-93B7-424D-9B7B-9FAC04E59AD4}</author>
    <author>tc={A161B4CF-E5FB-4A61-B649-469FF528EB6B}</author>
    <author>tc={977060A6-81AA-4862-AC33-92505856D668}</author>
    <author>tc={EAAB6554-8C87-4499-824A-C11A18CFBE60}</author>
    <author>tc={33A979F6-3965-48B9-845A-1598D9CEEFB9}</author>
    <author>tc={45EC42EA-4E6F-4166-9AFF-D2B930B31AA1}</author>
    <author>tc={A5D8A70D-3C0D-4124-924B-33AE674636F9}</author>
    <author>tc={BA4FC60A-B701-4389-BF81-A2AADC0C0364}</author>
    <author>tc={BD7714AB-4E31-4ABA-9DC2-A6E8DB51B5BA}</author>
  </authors>
  <commentList>
    <comment ref="B3" authorId="0" shapeId="0" xr:uid="{94ED77D9-1FD2-4C23-8BFE-4F93B42A0DE3}">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A11" authorId="1" shapeId="0" xr:uid="{138B39F2-E825-4EED-AB9D-60F8FB43F55F}">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A28" authorId="2" shapeId="0" xr:uid="{279E6875-C95A-481A-9A70-590B0497ED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A31" authorId="3" shapeId="0" xr:uid="{005ABA28-17CF-4568-98F1-6A682611C5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A32" authorId="4" shapeId="0" xr:uid="{A8CAEB01-BD61-46BB-9B0A-B9BCED54BF47}">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E53" authorId="5" shapeId="0" xr:uid="{362A5173-792B-48B9-8EF8-20FBEB01D6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A77" authorId="6" shapeId="0" xr:uid="{03D2C06C-93B7-424D-9B7B-9FAC04E59A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A78" authorId="7" shapeId="0" xr:uid="{A161B4CF-E5FB-4A61-B649-469FF528EB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A84" authorId="8" shapeId="0" xr:uid="{977060A6-81AA-4862-AC33-92505856D66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A85" authorId="9" shapeId="0" xr:uid="{EAAB6554-8C87-4499-824A-C11A18CFBE60}">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A158" authorId="10" shapeId="0" xr:uid="{33A979F6-3965-48B9-845A-1598D9CEEF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202" authorId="11" shapeId="0" xr:uid="{45EC42EA-4E6F-4166-9AFF-D2B930B31AA1}">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A203" authorId="12" shapeId="0" xr:uid="{A5D8A70D-3C0D-4124-924B-33AE674636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B203" authorId="13" shapeId="0" xr:uid="{BA4FC60A-B701-4389-BF81-A2AADC0C0364}">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A245" authorId="14" shapeId="0" xr:uid="{BD7714AB-4E31-4ABA-9DC2-A6E8DB51B5BA}">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<sst xmlns="http://schemas.openxmlformats.org/spreadsheetml/2006/main" count="5096" uniqueCount="526">
  <si>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</si>
  <si>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</si>
  <si>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</si>
  <si>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</si>
  <si>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</si>
  <si>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</si>
  <si>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</si>
  <si>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</si>
  <si>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</si>
  <si>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</si>
  <si>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</si>
  <si>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</si>
  <si>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</si>
  <si>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</si>
  <si>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</si>
  <si>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</si>
  <si>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</si>
  <si>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</si>
  <si>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</si>
  <si>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</si>
  <si>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</si>
  <si>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</si>
  <si>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</si>
  <si>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</si>
  <si>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</si>
  <si>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</si>
  <si>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</si>
  <si>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</si>
  <si>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</si>
  <si>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</si>
  <si>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</si>
  <si>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</si>
  <si>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</si>
  <si>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</si>
  <si>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</si>
  <si>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</si>
  <si>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</si>
  <si>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</si>
  <si>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</si>
  <si>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</si>
  <si>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</si>
  <si>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</si>
  <si>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</si>
  <si>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</si>
  <si>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</si>
  <si>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</si>
  <si>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</si>
  <si>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</si>
  <si>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</si>
  <si>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</si>
  <si>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</si>
  <si>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</si>
  <si>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</si>
  <si>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</si>
  <si>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</si>
  <si>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</si>
  <si>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</si>
  <si>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</si>
  <si>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</si>
  <si>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</si>
  <si>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</si>
  <si>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</si>
  <si>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</si>
  <si>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</si>
  <si>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</si>
  <si>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</si>
  <si>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</si>
  <si>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</si>
  <si>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</si>
  <si>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</si>
  <si>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</si>
  <si>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1802D</t>
  </si>
  <si>
    <t>Leading with AI for Project Managers</t>
  </si>
  <si>
    <t>Klaus Boedker</t>
  </si>
  <si>
    <t>0823D</t>
  </si>
  <si>
    <t>Strategic Portfolio Management</t>
  </si>
  <si>
    <t>Joyce Brown, Thomas McCabe</t>
  </si>
  <si>
    <t>0682D</t>
  </si>
  <si>
    <t>Program Management Adaptive Practices</t>
  </si>
  <si>
    <t>Michel Thiry</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</si>
  <si>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</si>
  <si>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</si>
  <si>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</si>
  <si>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</si>
  <si>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</si>
  <si>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</si>
  <si>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</si>
  <si>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</si>
  <si>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</si>
  <si>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</si>
  <si>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</si>
  <si>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</si>
  <si>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</si>
  <si>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</si>
  <si>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</si>
  <si>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</si>
  <si>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</si>
  <si>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</si>
  <si>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</si>
  <si>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</si>
  <si>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</si>
  <si>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</si>
  <si>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</si>
  <si>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</si>
  <si>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</si>
  <si>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</si>
  <si>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</si>
  <si>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</si>
  <si>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</si>
  <si>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</si>
  <si>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</si>
  <si>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</si>
  <si>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</si>
  <si>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</si>
  <si>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</si>
  <si>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</si>
  <si>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</si>
  <si>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</si>
  <si>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</si>
  <si>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</si>
  <si>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</si>
  <si>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</si>
  <si>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</si>
  <si>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</si>
  <si>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</si>
  <si>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</si>
  <si>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</si>
  <si>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</si>
  <si>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</si>
  <si>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</si>
  <si>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</si>
  <si>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</si>
  <si>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</si>
  <si>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</si>
  <si>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</si>
  <si>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</si>
  <si>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</si>
  <si>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</si>
  <si>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</si>
  <si>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</si>
  <si>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</si>
  <si>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</si>
  <si>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</si>
  <si>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</si>
  <si>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</si>
  <si>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</si>
  <si>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</si>
  <si>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</si>
  <si>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</si>
  <si>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</si>
  <si>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</si>
  <si>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</si>
  <si>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</si>
  <si>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</si>
  <si>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</si>
  <si>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</si>
  <si>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</si>
  <si>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</si>
  <si>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</si>
  <si>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</si>
  <si>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</si>
  <si>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</si>
  <si>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</si>
  <si>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</si>
  <si>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</si>
  <si>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</si>
  <si>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</si>
  <si>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</si>
  <si>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</si>
  <si>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</si>
  <si>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</si>
  <si>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</si>
  <si>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</si>
  <si>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</si>
  <si>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</si>
  <si>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</si>
  <si>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</si>
  <si>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</si>
  <si>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</si>
  <si>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</si>
  <si>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</si>
  <si>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</si>
  <si>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</si>
  <si>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</si>
  <si>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</si>
  <si>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1724D</t>
  </si>
  <si>
    <t>Lead with Emotional Intelligence</t>
  </si>
  <si>
    <t>Sunny Faronbi</t>
  </si>
  <si>
    <t>EI</t>
  </si>
  <si>
    <t>1864H</t>
  </si>
  <si>
    <t>Influencing Without Authority Interactive Briefing</t>
  </si>
  <si>
    <t>Joseph Reed</t>
  </si>
  <si>
    <t>9 - 1pm</t>
  </si>
  <si>
    <t>0432D</t>
  </si>
  <si>
    <t>Influence Without Authority</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</si>
  <si>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</si>
  <si>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</si>
  <si>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</si>
  <si>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</si>
  <si>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</si>
  <si>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</si>
  <si>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</si>
  <si>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</si>
  <si>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</si>
  <si>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</si>
  <si>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</si>
  <si>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</si>
  <si>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</si>
  <si>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</si>
  <si>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</si>
  <si>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</si>
  <si>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</si>
  <si>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</si>
  <si>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</si>
  <si>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</si>
  <si>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</si>
  <si>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</si>
  <si>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</si>
  <si>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</si>
  <si>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</si>
  <si>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</si>
  <si>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</si>
  <si>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</si>
  <si>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</si>
  <si>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</si>
  <si>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</si>
  <si>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</si>
  <si>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</si>
  <si>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</si>
  <si>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</si>
  <si>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</si>
  <si>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</si>
  <si>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</si>
  <si>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</si>
  <si>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</si>
  <si>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</si>
  <si>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</si>
  <si>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</si>
  <si>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</si>
  <si>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</si>
  <si>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</si>
  <si>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</si>
  <si>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</si>
  <si>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</si>
  <si>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</si>
  <si>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</si>
  <si>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</si>
  <si>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</si>
  <si>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</si>
  <si>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</si>
  <si>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</si>
  <si>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</si>
  <si>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</si>
  <si>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</si>
  <si>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</si>
  <si>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</si>
  <si>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</si>
  <si>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</si>
  <si>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</si>
  <si>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</si>
  <si>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</si>
  <si>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1813D</t>
  </si>
  <si>
    <t>Plan and Control: Project Management Foundations</t>
  </si>
  <si>
    <t>0742D</t>
  </si>
  <si>
    <t>Change Acceleration: Simplify and Succeed</t>
  </si>
  <si>
    <t>Business Acumen</t>
  </si>
  <si>
    <t>Add 2D course to schedule</t>
  </si>
  <si>
    <t>Mastering Adaptability for Modern Project Success</t>
  </si>
  <si>
    <t>Skills</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</si>
  <si>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</si>
  <si>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</si>
  <si>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</si>
  <si>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</si>
  <si>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</si>
  <si>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</si>
  <si>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</si>
  <si>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</si>
  <si>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</si>
  <si>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</si>
  <si>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</si>
  <si>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</si>
  <si>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</si>
  <si>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</si>
  <si>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</si>
  <si>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</si>
  <si>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 xml:space="preserve">PM Skills </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</si>
  <si>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</si>
  <si>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</si>
  <si>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</si>
  <si>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</si>
  <si>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</si>
  <si>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</si>
  <si>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</si>
  <si>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</si>
  <si>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</si>
  <si>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</si>
  <si>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</si>
  <si>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</si>
  <si>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</si>
  <si>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</si>
  <si>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</si>
  <si>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</si>
  <si>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</si>
  <si>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</si>
  <si>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</si>
  <si>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</si>
  <si>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</si>
  <si>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</si>
  <si>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</si>
  <si>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</si>
  <si>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</si>
  <si>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</si>
  <si>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</si>
  <si>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</si>
  <si>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</si>
  <si>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</si>
  <si>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</si>
  <si>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</si>
  <si>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</si>
  <si>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</si>
  <si>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</si>
  <si>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</si>
  <si>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</si>
  <si>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</si>
  <si>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</si>
  <si>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</si>
  <si>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</si>
  <si>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</si>
  <si>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</si>
  <si>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</si>
  <si>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</si>
  <si>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t>1211D</t>
  </si>
  <si>
    <t>Master the Principles: Accelerate Project Success</t>
  </si>
  <si>
    <t>1414H</t>
  </si>
  <si>
    <t>Cognitive Diversity: Leverage Your Thinking Style</t>
  </si>
  <si>
    <t>1pm - 5pm</t>
  </si>
  <si>
    <t>0372D</t>
  </si>
  <si>
    <t>Hybrid Agility: Blend Traditional and Adaptive Methods</t>
  </si>
  <si>
    <t>NK Shrivastava</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</si>
  <si>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</si>
  <si>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</si>
  <si>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</si>
  <si>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</si>
  <si>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</si>
  <si>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</si>
  <si>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</si>
  <si>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</si>
  <si>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</si>
  <si>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</si>
  <si>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</si>
  <si>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</si>
  <si>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</si>
  <si>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</si>
  <si>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</si>
  <si>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</si>
  <si>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</si>
  <si>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</si>
  <si>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</si>
  <si>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</si>
  <si>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</si>
  <si>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</si>
  <si>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</si>
  <si>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</si>
  <si>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</si>
  <si>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</si>
  <si>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</si>
  <si>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</si>
  <si>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</si>
  <si>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</si>
  <si>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</si>
  <si>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</si>
  <si>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</si>
  <si>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</si>
  <si>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</si>
  <si>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</si>
  <si>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</si>
  <si>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</si>
  <si>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</si>
  <si>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</si>
  <si>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</si>
  <si>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</si>
  <si>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</si>
  <si>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</si>
  <si>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</si>
  <si>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</si>
  <si>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</si>
  <si>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</si>
  <si>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</si>
  <si>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</si>
  <si>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</si>
  <si>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</si>
  <si>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</si>
  <si>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</si>
  <si>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</si>
  <si>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</si>
  <si>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</si>
  <si>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</si>
  <si>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</si>
  <si>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</si>
  <si>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</si>
  <si>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</si>
  <si>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</si>
  <si>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</si>
  <si>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</si>
  <si>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</si>
  <si>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</si>
  <si>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</si>
  <si>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</si>
  <si>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</si>
  <si>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</si>
  <si>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</si>
  <si>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</si>
  <si>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</si>
  <si>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</si>
  <si>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</si>
  <si>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</si>
  <si>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</si>
  <si>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</si>
  <si>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</si>
  <si>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</si>
  <si>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</si>
  <si>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</si>
  <si>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</si>
  <si>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</si>
  <si>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</si>
  <si>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</si>
  <si>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</si>
  <si>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</si>
  <si>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</si>
  <si>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</si>
  <si>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</si>
  <si>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</si>
  <si>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</si>
  <si>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</si>
  <si>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</si>
  <si>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</si>
  <si>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</si>
  <si>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</si>
  <si>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</si>
  <si>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</si>
  <si>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</si>
  <si>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</si>
  <si>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</si>
  <si>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</si>
  <si>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</si>
  <si>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</si>
  <si>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</si>
  <si>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</si>
  <si>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</si>
  <si>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</si>
  <si>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Influencing Without Authority</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</si>
  <si>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</si>
  <si>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</si>
  <si>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</si>
  <si>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</si>
  <si>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</si>
  <si>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</si>
  <si>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</si>
  <si>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</si>
  <si>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</si>
  <si>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</si>
  <si>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</si>
  <si>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r>
      <rPr>
        <strike/>
        <sz val="12"/>
        <color rgb="FFFF0000"/>
        <rFont val="Arial"/>
        <family val="2"/>
      </rPr>
      <t xml:space="preserve"> </t>
    </r>
    <r>
      <rPr>
        <sz val="12"/>
        <color rgb="FF000000"/>
        <rFont val="Arial"/>
        <family val="2"/>
      </rPr>
      <t>Jeff Panning</t>
    </r>
  </si>
  <si>
    <t>Column1</t>
  </si>
  <si>
    <t>Column2</t>
  </si>
  <si>
    <t>0</t>
  </si>
  <si>
    <t>Course_Name</t>
  </si>
  <si>
    <t>Course_ID</t>
  </si>
  <si>
    <t>Duration_Days</t>
  </si>
  <si>
    <t>4 hours = 0.6 days</t>
  </si>
  <si>
    <t>half day = 0.5 days</t>
  </si>
  <si>
    <t>Are they different?</t>
  </si>
  <si>
    <t>Unique Instructors</t>
  </si>
  <si>
    <t>Sheet CourseList0.0</t>
  </si>
  <si>
    <t>Unique Courses</t>
  </si>
  <si>
    <t>Influence Without Authority or Influencing</t>
  </si>
  <si>
    <t>PM Skills, Project Success, Leadership</t>
  </si>
  <si>
    <t>PM Skills, Agile</t>
  </si>
  <si>
    <t>Soft Skills, PM SKills</t>
  </si>
  <si>
    <t>Enterprise, Project Success</t>
  </si>
  <si>
    <t>Leadership, Change Mgmt, BA</t>
  </si>
  <si>
    <t>Soft Skills, Softskills, EI</t>
  </si>
  <si>
    <t>AGILE, 0</t>
  </si>
  <si>
    <t>Project, PM Skills, PM Skills , Power Skills</t>
  </si>
  <si>
    <t>Enterprise, Power Skills</t>
  </si>
  <si>
    <t>Program Mgmt, PMO</t>
  </si>
  <si>
    <t>Project, Leadership, Change Mgmt</t>
  </si>
  <si>
    <t>PM Skills, BA</t>
  </si>
  <si>
    <t xml:space="preserve">PM Skills, PM Skills </t>
  </si>
  <si>
    <t>PM Skills, Project Success, Project Skills, Business Acumen</t>
  </si>
  <si>
    <t xml:space="preserve">PMO, PM Skills </t>
  </si>
  <si>
    <t>Business Acumen, softskills</t>
  </si>
  <si>
    <t>Agile, Leadership</t>
  </si>
  <si>
    <t>PM Skills , PM Skills, soft skills</t>
  </si>
  <si>
    <t>Change Mgmt, soft skills</t>
  </si>
  <si>
    <t>PMO, PM Skills</t>
  </si>
  <si>
    <t>AI, Construction, AI Technical</t>
  </si>
  <si>
    <t>AI, AI Technical</t>
  </si>
  <si>
    <t>EI, PMO/EI, PMO</t>
  </si>
  <si>
    <t>BA, Agile</t>
  </si>
  <si>
    <t>Construction, PM Skills , PM Skills</t>
  </si>
  <si>
    <t>RISK, 0</t>
  </si>
  <si>
    <t>AI/Technical, TECHNICAL</t>
  </si>
  <si>
    <t>PMO, AI/PMO</t>
  </si>
  <si>
    <t>Construction, 0</t>
  </si>
  <si>
    <t>Skills, soft skills</t>
  </si>
  <si>
    <t xml:space="preserve">Construction Performance and Materials Management </t>
  </si>
  <si>
    <t>Dev notes</t>
  </si>
  <si>
    <t>Want placeholder notes for each event - ie 2 days security</t>
  </si>
  <si>
    <t>Sheet CourseList0.3</t>
  </si>
  <si>
    <t>tyson rydl has two courses with basically same name - are they different day durations?</t>
  </si>
  <si>
    <t>round publishing with incremental numbering and loading</t>
  </si>
  <si>
    <t>buttons could use some cleaning</t>
  </si>
  <si>
    <t>events and event days more interactive within dashboard - perhaps add, remove, and change names</t>
  </si>
  <si>
    <t>Should be able to change course names in app - logged as change</t>
  </si>
  <si>
    <t>Next steps</t>
  </si>
  <si>
    <t>Room numbers per swimlane. Same page as configure rooms</t>
  </si>
  <si>
    <t>notes will be crucial for example half day saying 9 am to 1 pm</t>
  </si>
  <si>
    <t>before giving to client reset change log to blank</t>
  </si>
  <si>
    <t>some instructor unavailabilities are 2025</t>
  </si>
  <si>
    <t>Chicago was 2025</t>
  </si>
  <si>
    <t>Instructor names corrected</t>
  </si>
  <si>
    <t>Klaus has a course ID identical for 2 different courses</t>
  </si>
  <si>
    <t>Oscar's name is wrong</t>
  </si>
  <si>
    <t>Added TBD2,3 for Scott since can't have same courseid</t>
  </si>
  <si>
    <t>added New1, New2 for Ori as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</si>
</sst>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_);[Red]\(&quot;$&quot;#,##0\)"/>
    <numFmt numFmtId="165" formatCode="0.0"/>
  </numFmts>
  <fonts count="16" x14ac:knownFonts="1">
    <font>
      <sz val="11"/>
      <color theme="1"/>
      <name val="Aptos Narrow"/>
      <family val="2"/>
      <scheme val="minor"/>
    </font>
    <font>
      <sz val="11"/>
      <color theme="1"/>
      <name val="Aptos Narrow"/>
      <family val="2"/>
      <scheme val="minor"/>
    </font>
    <font>
      <sz val="12"/>
      <color theme="1"/>
      <name val="Arial"/>
      <family val="2"/>
    </font>
    <font>
      <sz val="12"/>
      <color rgb="FF000000"/>
      <name val="Arial"/>
      <family val="2"/>
    </font>
    <font>
      <sz val="12"/>
      <name val="Arial"/>
      <family val="2"/>
    </font>
    <font>
      <strike/>
      <sz val="12"/>
      <color theme="1"/>
      <name val="Arial"/>
      <family val="2"/>
    </font>
    <font>
      <strike/>
      <sz val="12"/>
      <color rgb="FF7030A0"/>
      <name val="Arial"/>
      <family val="2"/>
    </font>
    <font>
      <sz val="12"/>
      <color rgb="FF7030A0"/>
      <name val="Arial"/>
      <family val="2"/>
    </font>
    <font>
      <sz val="12"/>
      <color rgb="FFFF0000"/>
      <name val="Arial"/>
      <family val="2"/>
    </font>
    <font>
      <sz val="12"/>
      <color theme="0"/>
      <name val="Arial"/>
      <family val="2"/>
    </font>
    <font>
      <sz val="12"/>
      <color rgb="FF242424"/>
      <name val="Arial"/>
      <family val="2"/>
    </font>
    <font>
      <strike/>
      <sz val="12"/>
      <color rgb="FFFF0000"/>
      <name val="Arial"/>
      <family val="2"/>
    </font>
    <font>
      <sz val="12"/>
      <color indexed="8"/>
      <name val="Arial"/>
      <family val="2"/>
    </font>
    <font>
      <strike/>
      <sz val="12"/>
      <name val="Arial"/>
      <family val="2"/>
    </font>
    <font>
      <sz val="12"/>
      <color rgb="FFFFFFFF"/>
      <name val="Arial"/>
      <family val="2"/>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rgb="FF00B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indexed="64"/>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indexed="64"/>
      </top>
      <bottom style="thin">
        <color indexed="64"/>
      </bottom>
      <diagonal/>
    </border>
    <border>
      <left style="thin">
        <color rgb="FF000000"/>
      </left>
      <right/>
      <top/>
      <bottom style="thin">
        <color rgb="FF000000"/>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rgb="FF44B3E1"/>
      </bottom>
      <diagonal/>
    </border>
  </borders>
  <cellStyleXfs count="2">
    <xf numFmtId="0" fontId="0" fillId="0" borderId="0"/>
    <xf numFmtId="43" fontId="1" fillId="0" borderId="0" applyFont="0" applyFill="0" applyBorder="0" applyAlignment="0" applyProtection="0"/>
  </cellStyleXfs>
  <cellXfs count="264">
    <xf numFmtId="0" fontId="0" fillId="0" borderId="0" xfId="0"/>
    <xf numFmtId="49" fontId="2" fillId="0" borderId="2" xfId="0" applyNumberFormat="1" applyFont="1" applyBorder="1" applyAlignment="1">
      <alignment horizontal="center"/>
    </xf>
    <xf numFmtId="0" fontId="3" fillId="0" borderId="1" xfId="0" applyFont="1" applyBorder="1" applyAlignment="1">
      <alignment horizontal="left" vertical="top"/>
    </xf>
    <xf numFmtId="49" fontId="2" fillId="0" borderId="1" xfId="0" applyNumberFormat="1" applyFont="1" applyBorder="1" applyAlignment="1">
      <alignment horizontal="center"/>
    </xf>
    <xf numFmtId="0" fontId="3" fillId="0" borderId="3" xfId="0" applyFont="1" applyBorder="1" applyAlignment="1">
      <alignment horizontal="left" vertical="top"/>
    </xf>
    <xf numFmtId="0" fontId="4" fillId="0" borderId="5"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49" fontId="2" fillId="0" borderId="3" xfId="0" applyNumberFormat="1" applyFont="1" applyBorder="1" applyAlignment="1">
      <alignment horizontal="center"/>
    </xf>
    <xf numFmtId="0" fontId="2" fillId="0" borderId="1" xfId="0" applyFont="1" applyBorder="1" applyAlignment="1">
      <alignment horizontal="left" vertical="top"/>
    </xf>
    <xf numFmtId="0" fontId="3" fillId="0" borderId="7" xfId="0" applyFont="1" applyBorder="1" applyAlignment="1">
      <alignment horizontal="left" vertical="top"/>
    </xf>
    <xf numFmtId="0" fontId="3" fillId="0" borderId="1" xfId="0" applyFont="1" applyBorder="1" applyAlignment="1">
      <alignment vertical="top"/>
    </xf>
    <xf numFmtId="16" fontId="2" fillId="0" borderId="1" xfId="0" applyNumberFormat="1" applyFont="1" applyBorder="1" applyAlignment="1">
      <alignment horizontal="center" vertical="top"/>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5" xfId="0" applyFont="1" applyBorder="1" applyAlignment="1">
      <alignment horizontal="left" vertical="top"/>
    </xf>
    <xf numFmtId="0" fontId="2" fillId="0" borderId="5" xfId="0" applyFont="1" applyBorder="1" applyAlignment="1">
      <alignment vertical="center"/>
    </xf>
    <xf numFmtId="0" fontId="2" fillId="0" borderId="6" xfId="0" applyFont="1" applyBorder="1" applyAlignment="1">
      <alignment vertical="center"/>
    </xf>
    <xf numFmtId="49" fontId="2" fillId="0" borderId="1" xfId="0" applyNumberFormat="1" applyFont="1" applyBorder="1" applyAlignment="1">
      <alignment horizontal="center" vertical="center"/>
    </xf>
    <xf numFmtId="49" fontId="8" fillId="0" borderId="1" xfId="0" applyNumberFormat="1" applyFont="1" applyBorder="1" applyAlignment="1">
      <alignment horizontal="center"/>
    </xf>
    <xf numFmtId="0" fontId="2" fillId="0" borderId="1" xfId="0" applyFont="1" applyBorder="1" applyAlignment="1">
      <alignment horizontal="center" vertical="top"/>
    </xf>
    <xf numFmtId="0" fontId="9" fillId="0" borderId="1" xfId="0" applyFont="1" applyBorder="1" applyAlignment="1">
      <alignment horizontal="center" vertical="center"/>
    </xf>
    <xf numFmtId="2" fontId="2" fillId="0" borderId="1" xfId="0" applyNumberFormat="1" applyFont="1" applyBorder="1" applyAlignment="1">
      <alignment horizontal="center" vertical="center"/>
    </xf>
    <xf numFmtId="49" fontId="2" fillId="0" borderId="7" xfId="0" applyNumberFormat="1" applyFont="1" applyBorder="1" applyAlignment="1">
      <alignment horizontal="center"/>
    </xf>
    <xf numFmtId="0" fontId="2" fillId="0" borderId="1" xfId="0" applyFont="1" applyBorder="1" applyAlignment="1">
      <alignment vertical="center"/>
    </xf>
    <xf numFmtId="0" fontId="2" fillId="0" borderId="7" xfId="0" applyFont="1" applyBorder="1" applyAlignment="1">
      <alignment vertical="center"/>
    </xf>
    <xf numFmtId="43" fontId="2" fillId="0" borderId="1" xfId="1" applyFont="1" applyFill="1" applyBorder="1" applyAlignment="1">
      <alignment horizontal="center" vertical="center"/>
    </xf>
    <xf numFmtId="49" fontId="3" fillId="0" borderId="7" xfId="0" applyNumberFormat="1" applyFont="1" applyBorder="1" applyAlignment="1">
      <alignment horizontal="center"/>
    </xf>
    <xf numFmtId="0" fontId="4" fillId="0" borderId="1" xfId="0" applyFont="1" applyBorder="1" applyAlignment="1">
      <alignment horizontal="left" vertical="center"/>
    </xf>
    <xf numFmtId="0" fontId="2" fillId="0" borderId="1" xfId="0" applyFont="1" applyBorder="1" applyAlignment="1">
      <alignment vertical="top"/>
    </xf>
    <xf numFmtId="0" fontId="3" fillId="0" borderId="1" xfId="0" applyFont="1" applyBorder="1" applyAlignment="1">
      <alignment vertical="center"/>
    </xf>
    <xf numFmtId="2" fontId="3" fillId="0" borderId="1" xfId="0" applyNumberFormat="1" applyFont="1" applyBorder="1" applyAlignment="1">
      <alignment horizontal="center" vertical="center"/>
    </xf>
    <xf numFmtId="43" fontId="5" fillId="0" borderId="1" xfId="1" applyFont="1" applyFill="1" applyBorder="1" applyAlignment="1">
      <alignment horizontal="center" vertical="center"/>
    </xf>
    <xf numFmtId="43" fontId="11" fillId="0" borderId="1" xfId="1" applyFont="1" applyFill="1" applyBorder="1" applyAlignment="1">
      <alignment horizontal="center" vertical="center"/>
    </xf>
    <xf numFmtId="0" fontId="2" fillId="0" borderId="1" xfId="0" applyFont="1" applyBorder="1" applyAlignment="1">
      <alignment horizontal="left" vertical="center"/>
    </xf>
    <xf numFmtId="49" fontId="4" fillId="0" borderId="1" xfId="1" applyNumberFormat="1" applyFont="1" applyFill="1" applyBorder="1" applyAlignment="1">
      <alignment horizontal="center" vertical="center"/>
    </xf>
    <xf numFmtId="0" fontId="8" fillId="0" borderId="1" xfId="0" applyFont="1" applyBorder="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2" fillId="0" borderId="4" xfId="0" applyNumberFormat="1" applyFont="1" applyBorder="1" applyAlignment="1">
      <alignment horizontal="center"/>
    </xf>
    <xf numFmtId="0" fontId="3" fillId="0" borderId="5" xfId="0" applyFont="1" applyBorder="1" applyAlignment="1">
      <alignment vertical="center"/>
    </xf>
    <xf numFmtId="0" fontId="12" fillId="0" borderId="5" xfId="0" applyFont="1" applyBorder="1" applyAlignment="1">
      <alignment horizontal="left" vertical="center"/>
    </xf>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2" fontId="2" fillId="0" borderId="5" xfId="0" applyNumberFormat="1" applyFont="1" applyBorder="1" applyAlignment="1">
      <alignment horizontal="center" vertical="center"/>
    </xf>
    <xf numFmtId="49" fontId="2" fillId="0" borderId="5" xfId="0" applyNumberFormat="1" applyFont="1" applyBorder="1" applyAlignment="1">
      <alignment horizont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2" fontId="2" fillId="0" borderId="2" xfId="0" applyNumberFormat="1" applyFont="1" applyBorder="1" applyAlignment="1">
      <alignment horizontal="center" vertical="center"/>
    </xf>
    <xf numFmtId="49" fontId="2" fillId="0" borderId="18" xfId="0" applyNumberFormat="1" applyFont="1" applyBorder="1" applyAlignment="1">
      <alignment horizontal="center"/>
    </xf>
    <xf numFmtId="0" fontId="2" fillId="0" borderId="3" xfId="0" applyFont="1" applyBorder="1" applyAlignment="1">
      <alignment horizontal="left"/>
    </xf>
    <xf numFmtId="0" fontId="4" fillId="0" borderId="7" xfId="0" applyFont="1" applyBorder="1" applyAlignment="1">
      <alignment horizontal="center"/>
    </xf>
    <xf numFmtId="0" fontId="2" fillId="0" borderId="1" xfId="0" applyFont="1" applyBorder="1" applyAlignment="1">
      <alignment horizontal="left"/>
    </xf>
    <xf numFmtId="0" fontId="3" fillId="0" borderId="0" xfId="0" applyFont="1" applyAlignment="1">
      <alignment horizontal="center" vertical="center"/>
    </xf>
    <xf numFmtId="0" fontId="10" fillId="0" borderId="0" xfId="0" applyFont="1" applyAlignment="1">
      <alignment horizontal="left" vertical="center"/>
    </xf>
    <xf numFmtId="0" fontId="2" fillId="0" borderId="7" xfId="0" applyFont="1" applyBorder="1" applyAlignment="1">
      <alignment horizontal="center"/>
    </xf>
    <xf numFmtId="0" fontId="4" fillId="0" borderId="1" xfId="0" applyFont="1" applyBorder="1" applyAlignment="1">
      <alignment horizontal="left"/>
    </xf>
    <xf numFmtId="0" fontId="3" fillId="0" borderId="7" xfId="0" applyFont="1" applyBorder="1" applyAlignment="1">
      <alignment horizontal="center"/>
    </xf>
    <xf numFmtId="14" fontId="2" fillId="0" borderId="5" xfId="0" applyNumberFormat="1" applyFont="1" applyBorder="1" applyAlignment="1">
      <alignment horizontal="left"/>
    </xf>
    <xf numFmtId="14" fontId="2" fillId="0" borderId="14" xfId="0" applyNumberFormat="1" applyFont="1" applyBorder="1" applyAlignment="1">
      <alignment horizontal="left"/>
    </xf>
    <xf numFmtId="0" fontId="2" fillId="0" borderId="5" xfId="0" applyFont="1" applyBorder="1" applyAlignment="1">
      <alignment horizontal="center"/>
    </xf>
    <xf numFmtId="14" fontId="2" fillId="0" borderId="16" xfId="0" applyNumberFormat="1" applyFont="1" applyBorder="1" applyAlignment="1">
      <alignment horizontal="left"/>
    </xf>
    <xf numFmtId="0" fontId="3" fillId="0" borderId="1" xfId="0" applyFont="1" applyBorder="1" applyAlignment="1">
      <alignment horizontal="left"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center" vertical="center"/>
    </xf>
    <xf numFmtId="0" fontId="3" fillId="0" borderId="1" xfId="0" applyFont="1" applyBorder="1" applyAlignment="1">
      <alignment horizontal="left"/>
    </xf>
    <xf numFmtId="49" fontId="3" fillId="0" borderId="1"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0" xfId="0" applyNumberFormat="1" applyFont="1" applyAlignment="1">
      <alignment horizontal="center"/>
    </xf>
    <xf numFmtId="49" fontId="2" fillId="0" borderId="13" xfId="0" applyNumberFormat="1" applyFont="1" applyBorder="1" applyAlignment="1">
      <alignment horizontal="center"/>
    </xf>
    <xf numFmtId="49" fontId="2" fillId="0" borderId="6" xfId="0" applyNumberFormat="1" applyFont="1" applyBorder="1" applyAlignment="1">
      <alignment horizontal="center"/>
    </xf>
    <xf numFmtId="0" fontId="4" fillId="0" borderId="1" xfId="0" applyFont="1" applyBorder="1" applyAlignment="1">
      <alignment vertical="center"/>
    </xf>
    <xf numFmtId="49" fontId="2" fillId="0" borderId="15" xfId="0" applyNumberFormat="1" applyFont="1" applyBorder="1" applyAlignment="1">
      <alignment horizontal="center"/>
    </xf>
    <xf numFmtId="49" fontId="4" fillId="0" borderId="7" xfId="0" applyNumberFormat="1" applyFont="1" applyBorder="1" applyAlignment="1">
      <alignment horizontal="center"/>
    </xf>
    <xf numFmtId="0" fontId="3" fillId="0" borderId="0" xfId="0" applyFont="1" applyAlignment="1">
      <alignment vertical="center"/>
    </xf>
    <xf numFmtId="49" fontId="2" fillId="0" borderId="20" xfId="0" applyNumberFormat="1" applyFont="1" applyBorder="1" applyAlignment="1">
      <alignment horizontal="center"/>
    </xf>
    <xf numFmtId="49" fontId="4" fillId="0" borderId="3" xfId="0" applyNumberFormat="1" applyFont="1" applyBorder="1" applyAlignment="1">
      <alignment horizontal="center" vertical="center"/>
    </xf>
    <xf numFmtId="2" fontId="4" fillId="0" borderId="3" xfId="0" applyNumberFormat="1" applyFont="1" applyBorder="1" applyAlignment="1">
      <alignment horizontal="center" vertical="center"/>
    </xf>
    <xf numFmtId="49" fontId="4" fillId="0" borderId="4" xfId="0" applyNumberFormat="1" applyFont="1" applyBorder="1" applyAlignment="1">
      <alignment horizontal="center"/>
    </xf>
    <xf numFmtId="49"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8" xfId="0" applyNumberFormat="1" applyFont="1" applyBorder="1" applyAlignment="1">
      <alignment horizontal="center"/>
    </xf>
    <xf numFmtId="0" fontId="4" fillId="0" borderId="3" xfId="0" applyFont="1" applyBorder="1" applyAlignment="1">
      <alignment horizontal="left" vertical="center"/>
    </xf>
    <xf numFmtId="0" fontId="5" fillId="0" borderId="1" xfId="0" applyFont="1" applyBorder="1" applyAlignment="1">
      <alignment horizontal="center" vertical="center"/>
    </xf>
    <xf numFmtId="49" fontId="5" fillId="0" borderId="1" xfId="0" applyNumberFormat="1" applyFont="1" applyBorder="1" applyAlignment="1">
      <alignment horizontal="center" vertical="center"/>
    </xf>
    <xf numFmtId="0" fontId="2" fillId="0" borderId="1" xfId="0" applyFont="1" applyBorder="1" applyAlignment="1">
      <alignment horizontal="center"/>
    </xf>
    <xf numFmtId="0" fontId="4" fillId="0" borderId="1" xfId="0" applyFont="1" applyBorder="1" applyAlignment="1">
      <alignment horizontal="left" vertical="top"/>
    </xf>
    <xf numFmtId="0" fontId="2" fillId="0" borderId="2" xfId="0" applyFont="1" applyBorder="1" applyAlignment="1">
      <alignment horizontal="center"/>
    </xf>
    <xf numFmtId="0" fontId="8" fillId="0" borderId="1" xfId="0" applyFont="1" applyBorder="1" applyAlignment="1">
      <alignment horizontal="center"/>
    </xf>
    <xf numFmtId="49" fontId="9" fillId="0" borderId="1" xfId="0" applyNumberFormat="1" applyFont="1" applyBorder="1" applyAlignment="1">
      <alignment horizontal="center"/>
    </xf>
    <xf numFmtId="0" fontId="9" fillId="0" borderId="1" xfId="0" applyFont="1" applyBorder="1" applyAlignment="1">
      <alignment horizontal="center"/>
    </xf>
    <xf numFmtId="0" fontId="3" fillId="0" borderId="1" xfId="0" applyFont="1" applyBorder="1" applyAlignment="1">
      <alignment horizontal="center" vertical="top"/>
    </xf>
    <xf numFmtId="0" fontId="11" fillId="0" borderId="1" xfId="0" applyFont="1" applyBorder="1" applyAlignment="1">
      <alignment horizontal="center" vertical="center"/>
    </xf>
    <xf numFmtId="164" fontId="2" fillId="0" borderId="1" xfId="0" applyNumberFormat="1" applyFont="1" applyBorder="1" applyAlignment="1">
      <alignment horizontal="right"/>
    </xf>
    <xf numFmtId="0" fontId="2" fillId="0" borderId="3" xfId="0" applyFont="1" applyBorder="1" applyAlignment="1">
      <alignment horizontal="center" vertical="top"/>
    </xf>
    <xf numFmtId="1" fontId="2" fillId="0" borderId="3" xfId="0" applyNumberFormat="1" applyFont="1" applyBorder="1" applyAlignment="1">
      <alignment horizontal="center" vertical="center"/>
    </xf>
    <xf numFmtId="164" fontId="2" fillId="0" borderId="3" xfId="0" applyNumberFormat="1" applyFont="1" applyBorder="1" applyAlignment="1">
      <alignment horizontal="right"/>
    </xf>
    <xf numFmtId="0" fontId="2" fillId="0" borderId="2" xfId="0" applyFont="1" applyBorder="1" applyAlignment="1">
      <alignment horizontal="center" vertical="top"/>
    </xf>
    <xf numFmtId="1" fontId="2" fillId="0" borderId="2" xfId="0" applyNumberFormat="1" applyFont="1" applyBorder="1" applyAlignment="1">
      <alignment horizontal="center" vertical="center"/>
    </xf>
    <xf numFmtId="49" fontId="2" fillId="0" borderId="10" xfId="0" applyNumberFormat="1" applyFont="1" applyBorder="1" applyAlignment="1">
      <alignment horizontal="center"/>
    </xf>
    <xf numFmtId="49" fontId="2" fillId="0" borderId="11" xfId="0" applyNumberFormat="1" applyFont="1" applyBorder="1" applyAlignment="1">
      <alignment horizontal="center"/>
    </xf>
    <xf numFmtId="164" fontId="2" fillId="0" borderId="2" xfId="0" applyNumberFormat="1" applyFont="1" applyBorder="1" applyAlignment="1">
      <alignment horizontal="right"/>
    </xf>
    <xf numFmtId="0" fontId="8" fillId="0" borderId="2" xfId="0" applyFont="1" applyBorder="1" applyAlignment="1">
      <alignment vertical="center"/>
    </xf>
    <xf numFmtId="0" fontId="8" fillId="0" borderId="1" xfId="0" applyFont="1" applyBorder="1" applyAlignment="1">
      <alignment horizontal="center" vertical="top"/>
    </xf>
    <xf numFmtId="1" fontId="8" fillId="0" borderId="1" xfId="0" applyNumberFormat="1" applyFont="1" applyBorder="1" applyAlignment="1">
      <alignment horizontal="center" vertical="center"/>
    </xf>
    <xf numFmtId="0" fontId="8" fillId="0" borderId="1" xfId="0" applyFont="1" applyBorder="1" applyAlignment="1">
      <alignment vertical="center"/>
    </xf>
    <xf numFmtId="165" fontId="2" fillId="0" borderId="1" xfId="0" applyNumberFormat="1" applyFont="1" applyBorder="1" applyAlignment="1">
      <alignment horizontal="center" vertical="center"/>
    </xf>
    <xf numFmtId="0" fontId="2" fillId="0" borderId="1" xfId="0" applyFont="1" applyBorder="1" applyAlignment="1">
      <alignment horizontal="right"/>
    </xf>
    <xf numFmtId="49" fontId="9"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49" fontId="14" fillId="0" borderId="1" xfId="0" applyNumberFormat="1" applyFont="1" applyBorder="1" applyAlignment="1">
      <alignment horizontal="center"/>
    </xf>
    <xf numFmtId="14" fontId="2" fillId="0" borderId="5" xfId="0" applyNumberFormat="1" applyFont="1" applyBorder="1" applyAlignment="1">
      <alignment horizontal="center"/>
    </xf>
    <xf numFmtId="14" fontId="2" fillId="0" borderId="14" xfId="0" applyNumberFormat="1" applyFont="1" applyBorder="1" applyAlignment="1">
      <alignment horizontal="center"/>
    </xf>
    <xf numFmtId="43" fontId="3" fillId="0" borderId="1" xfId="1" applyFont="1" applyFill="1" applyBorder="1" applyAlignment="1">
      <alignment horizontal="center" vertical="center"/>
    </xf>
    <xf numFmtId="14" fontId="3" fillId="0" borderId="5" xfId="0" applyNumberFormat="1" applyFont="1" applyBorder="1" applyAlignment="1">
      <alignment horizontal="center"/>
    </xf>
    <xf numFmtId="14" fontId="3" fillId="0" borderId="14" xfId="0" applyNumberFormat="1" applyFont="1" applyBorder="1" applyAlignment="1">
      <alignment horizont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14" fontId="2" fillId="0" borderId="17" xfId="0" applyNumberFormat="1" applyFont="1" applyBorder="1" applyAlignment="1">
      <alignment horizontal="center"/>
    </xf>
    <xf numFmtId="0" fontId="2" fillId="0" borderId="6" xfId="0" applyFont="1" applyBorder="1" applyAlignment="1">
      <alignment horizontal="center" vertical="center"/>
    </xf>
    <xf numFmtId="49" fontId="9" fillId="0" borderId="4" xfId="0" applyNumberFormat="1" applyFont="1" applyBorder="1" applyAlignment="1">
      <alignment horizontal="center" vertical="center"/>
    </xf>
    <xf numFmtId="0" fontId="9" fillId="0" borderId="3" xfId="0" applyFont="1" applyBorder="1" applyAlignment="1">
      <alignment horizontal="center" vertical="center"/>
    </xf>
    <xf numFmtId="14" fontId="2" fillId="0" borderId="6"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16" xfId="0" applyFont="1" applyBorder="1" applyAlignment="1">
      <alignment horizontal="center" vertical="center"/>
    </xf>
    <xf numFmtId="49" fontId="9" fillId="0" borderId="7" xfId="0" applyNumberFormat="1" applyFont="1" applyBorder="1" applyAlignment="1">
      <alignment horizontal="center" vertical="center"/>
    </xf>
    <xf numFmtId="2" fontId="9" fillId="0" borderId="5" xfId="0" applyNumberFormat="1" applyFont="1" applyBorder="1" applyAlignment="1">
      <alignment horizontal="right"/>
    </xf>
    <xf numFmtId="2" fontId="9" fillId="0" borderId="14" xfId="0" applyNumberFormat="1" applyFont="1" applyBorder="1" applyAlignment="1">
      <alignment horizontal="right"/>
    </xf>
    <xf numFmtId="0" fontId="2" fillId="0" borderId="12" xfId="0" applyFont="1" applyBorder="1" applyAlignment="1">
      <alignment horizontal="center" vertical="center"/>
    </xf>
    <xf numFmtId="0" fontId="4" fillId="0" borderId="1" xfId="0" applyFont="1" applyBorder="1" applyAlignment="1">
      <alignment horizontal="center"/>
    </xf>
    <xf numFmtId="0" fontId="11" fillId="0" borderId="1"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vertical="center"/>
    </xf>
    <xf numFmtId="0" fontId="3" fillId="0" borderId="1" xfId="0" applyFont="1" applyBorder="1" applyAlignment="1">
      <alignment horizontal="center"/>
    </xf>
    <xf numFmtId="0" fontId="2" fillId="0" borderId="8" xfId="0" applyFont="1" applyBorder="1" applyAlignment="1">
      <alignment horizontal="center" vertical="center"/>
    </xf>
    <xf numFmtId="14" fontId="2" fillId="0" borderId="9" xfId="0" applyNumberFormat="1"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xf>
    <xf numFmtId="0" fontId="9" fillId="0" borderId="2" xfId="0" applyFont="1" applyBorder="1" applyAlignment="1">
      <alignment horizontal="center" vertical="center"/>
    </xf>
    <xf numFmtId="0" fontId="3" fillId="0" borderId="3" xfId="0" applyFont="1" applyBorder="1" applyAlignment="1">
      <alignment horizontal="center"/>
    </xf>
    <xf numFmtId="49" fontId="8" fillId="0" borderId="1" xfId="0" applyNumberFormat="1" applyFont="1" applyBorder="1" applyAlignment="1">
      <alignment horizontal="center" vertical="center"/>
    </xf>
    <xf numFmtId="49" fontId="3" fillId="0" borderId="7" xfId="0" applyNumberFormat="1" applyFont="1" applyBorder="1" applyAlignment="1">
      <alignment horizontal="center" vertical="center"/>
    </xf>
    <xf numFmtId="164" fontId="3" fillId="0" borderId="1" xfId="0" applyNumberFormat="1" applyFont="1" applyBorder="1" applyAlignment="1">
      <alignment horizontal="center"/>
    </xf>
    <xf numFmtId="14" fontId="2" fillId="0" borderId="7" xfId="0" applyNumberFormat="1" applyFont="1" applyBorder="1" applyAlignment="1">
      <alignment horizontal="center" vertical="center"/>
    </xf>
    <xf numFmtId="0" fontId="4" fillId="0" borderId="0" xfId="0" applyFont="1" applyAlignment="1">
      <alignment horizontal="center"/>
    </xf>
    <xf numFmtId="49" fontId="9" fillId="0" borderId="0" xfId="0" applyNumberFormat="1" applyFont="1" applyAlignment="1">
      <alignment horizontal="center" vertical="center"/>
    </xf>
    <xf numFmtId="0" fontId="9" fillId="0" borderId="5" xfId="0" applyFont="1" applyBorder="1" applyAlignment="1">
      <alignment horizontal="center" vertical="center"/>
    </xf>
    <xf numFmtId="0" fontId="2" fillId="0" borderId="3" xfId="0" applyFont="1" applyBorder="1" applyAlignment="1">
      <alignment horizontal="center"/>
    </xf>
    <xf numFmtId="0" fontId="4" fillId="0" borderId="8" xfId="0" applyFont="1" applyBorder="1" applyAlignment="1">
      <alignment vertical="center"/>
    </xf>
    <xf numFmtId="49" fontId="2"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2" fillId="0" borderId="3" xfId="0" applyFont="1" applyBorder="1" applyAlignment="1">
      <alignment vertical="center"/>
    </xf>
    <xf numFmtId="2" fontId="8" fillId="0" borderId="1" xfId="0" applyNumberFormat="1" applyFont="1" applyBorder="1" applyAlignment="1">
      <alignment horizontal="center" vertical="center"/>
    </xf>
    <xf numFmtId="0" fontId="4" fillId="0" borderId="5" xfId="0" applyFont="1" applyBorder="1" applyAlignment="1">
      <alignment vertical="center"/>
    </xf>
    <xf numFmtId="0" fontId="9" fillId="0" borderId="0" xfId="0" applyFont="1" applyAlignment="1">
      <alignment horizontal="center" vertical="center"/>
    </xf>
    <xf numFmtId="0" fontId="9" fillId="0" borderId="2" xfId="0" applyFont="1" applyBorder="1" applyAlignment="1">
      <alignment horizontal="center"/>
    </xf>
    <xf numFmtId="0" fontId="2" fillId="0" borderId="2" xfId="0" applyFont="1" applyBorder="1" applyAlignment="1">
      <alignment horizontal="left"/>
    </xf>
    <xf numFmtId="0" fontId="2" fillId="0" borderId="1" xfId="0" applyFont="1" applyBorder="1"/>
    <xf numFmtId="0" fontId="9" fillId="0" borderId="1" xfId="0" applyFont="1" applyBorder="1" applyAlignment="1">
      <alignment horizontal="left"/>
    </xf>
    <xf numFmtId="0" fontId="9" fillId="0" borderId="1" xfId="0" applyFont="1" applyBorder="1"/>
    <xf numFmtId="0" fontId="2" fillId="0" borderId="0" xfId="0" applyFont="1" applyAlignment="1">
      <alignment horizontal="center"/>
    </xf>
    <xf numFmtId="0" fontId="4" fillId="0" borderId="1" xfId="0" applyFont="1" applyBorder="1"/>
    <xf numFmtId="0" fontId="3" fillId="0" borderId="1" xfId="0" applyFont="1" applyBorder="1"/>
    <xf numFmtId="49" fontId="4" fillId="0" borderId="5" xfId="0" applyNumberFormat="1" applyFont="1" applyBorder="1"/>
    <xf numFmtId="164" fontId="2" fillId="0" borderId="6" xfId="0" applyNumberFormat="1" applyFont="1" applyBorder="1"/>
    <xf numFmtId="0" fontId="4" fillId="0" borderId="3" xfId="0" applyFont="1" applyBorder="1"/>
    <xf numFmtId="0" fontId="4" fillId="0" borderId="7" xfId="0" applyFont="1" applyBorder="1"/>
    <xf numFmtId="0" fontId="3" fillId="0" borderId="6" xfId="0" applyFont="1" applyBorder="1"/>
    <xf numFmtId="0" fontId="2" fillId="0" borderId="5" xfId="0" applyFont="1" applyBorder="1"/>
    <xf numFmtId="0" fontId="2" fillId="0" borderId="2" xfId="0" applyFont="1" applyBorder="1"/>
    <xf numFmtId="0" fontId="2" fillId="0" borderId="3" xfId="0" applyFont="1" applyBorder="1"/>
    <xf numFmtId="49" fontId="4" fillId="0" borderId="8" xfId="0" applyNumberFormat="1" applyFont="1" applyBorder="1"/>
    <xf numFmtId="164" fontId="2" fillId="0" borderId="9" xfId="0" applyNumberFormat="1" applyFont="1" applyBorder="1"/>
    <xf numFmtId="49" fontId="4" fillId="0" borderId="1" xfId="0" applyNumberFormat="1" applyFont="1" applyBorder="1"/>
    <xf numFmtId="164" fontId="2" fillId="0" borderId="1" xfId="0" applyNumberFormat="1" applyFont="1" applyBorder="1"/>
    <xf numFmtId="0" fontId="4" fillId="0" borderId="2" xfId="0" applyFont="1" applyBorder="1"/>
    <xf numFmtId="49" fontId="4" fillId="0" borderId="12" xfId="0" applyNumberFormat="1" applyFont="1" applyBorder="1"/>
    <xf numFmtId="164" fontId="2" fillId="0" borderId="13" xfId="0" applyNumberFormat="1" applyFont="1" applyBorder="1"/>
    <xf numFmtId="0" fontId="5" fillId="0" borderId="5" xfId="0" applyFont="1" applyBorder="1"/>
    <xf numFmtId="0" fontId="2" fillId="0" borderId="14" xfId="0" applyFont="1" applyBorder="1"/>
    <xf numFmtId="0" fontId="2" fillId="0" borderId="0" xfId="0" applyFont="1" applyAlignment="1">
      <alignment horizontal="center" vertical="top"/>
    </xf>
    <xf numFmtId="0" fontId="2" fillId="0" borderId="7" xfId="0" applyFont="1" applyBorder="1"/>
    <xf numFmtId="0" fontId="6" fillId="0" borderId="5" xfId="0" applyFont="1" applyBorder="1"/>
    <xf numFmtId="0" fontId="7" fillId="0" borderId="5" xfId="0" applyFont="1" applyBorder="1"/>
    <xf numFmtId="0" fontId="8" fillId="0" borderId="0" xfId="0" applyFont="1"/>
    <xf numFmtId="0" fontId="2" fillId="0" borderId="6" xfId="0" applyFont="1" applyBorder="1"/>
    <xf numFmtId="2" fontId="9" fillId="0" borderId="15" xfId="0" applyNumberFormat="1" applyFont="1" applyBorder="1" applyAlignment="1">
      <alignment horizontal="center"/>
    </xf>
    <xf numFmtId="0" fontId="9" fillId="0" borderId="6" xfId="0" applyFont="1" applyBorder="1" applyAlignment="1">
      <alignment horizontal="center"/>
    </xf>
    <xf numFmtId="43" fontId="2" fillId="0" borderId="5" xfId="1" applyFont="1" applyFill="1" applyBorder="1" applyAlignment="1"/>
    <xf numFmtId="0" fontId="10" fillId="0" borderId="0" xfId="0" applyFont="1"/>
    <xf numFmtId="0" fontId="2" fillId="0" borderId="0" xfId="0" applyFont="1"/>
    <xf numFmtId="0" fontId="3" fillId="0" borderId="0" xfId="0" applyFont="1"/>
    <xf numFmtId="0" fontId="2" fillId="0" borderId="0" xfId="0" applyFont="1" applyAlignment="1">
      <alignment horizontal="center" vertical="center"/>
    </xf>
    <xf numFmtId="0" fontId="2" fillId="0" borderId="16" xfId="0" applyFont="1" applyBorder="1"/>
    <xf numFmtId="14" fontId="2" fillId="0" borderId="5" xfId="0" applyNumberFormat="1" applyFont="1" applyBorder="1"/>
    <xf numFmtId="14" fontId="2" fillId="0" borderId="14" xfId="0" applyNumberFormat="1" applyFont="1" applyBorder="1"/>
    <xf numFmtId="0" fontId="9" fillId="0" borderId="3" xfId="0" applyFont="1" applyBorder="1"/>
    <xf numFmtId="0" fontId="2" fillId="0" borderId="8" xfId="0" applyFont="1" applyBorder="1"/>
    <xf numFmtId="0" fontId="2" fillId="0" borderId="4" xfId="0" applyFont="1" applyBorder="1"/>
    <xf numFmtId="0" fontId="8" fillId="0" borderId="5" xfId="0" applyFont="1" applyBorder="1"/>
    <xf numFmtId="0" fontId="3" fillId="0" borderId="5" xfId="0" applyFont="1" applyBorder="1"/>
    <xf numFmtId="14" fontId="2" fillId="0" borderId="12" xfId="0" applyNumberFormat="1" applyFont="1" applyBorder="1"/>
    <xf numFmtId="0" fontId="9" fillId="0" borderId="2" xfId="0" applyFont="1" applyBorder="1"/>
    <xf numFmtId="0" fontId="4" fillId="0" borderId="5" xfId="0" applyFont="1" applyBorder="1"/>
    <xf numFmtId="0" fontId="8" fillId="0" borderId="1" xfId="0" applyFont="1" applyBorder="1"/>
    <xf numFmtId="0" fontId="13" fillId="0" borderId="5" xfId="0" applyFont="1" applyBorder="1"/>
    <xf numFmtId="0" fontId="4" fillId="0" borderId="3" xfId="0" applyFont="1" applyBorder="1" applyAlignment="1">
      <alignment horizontal="center"/>
    </xf>
    <xf numFmtId="0" fontId="3" fillId="0" borderId="9" xfId="0" applyFont="1" applyBorder="1"/>
    <xf numFmtId="0" fontId="3" fillId="0" borderId="3" xfId="0" applyFont="1" applyBorder="1"/>
    <xf numFmtId="0" fontId="2" fillId="0" borderId="18" xfId="0" applyFont="1" applyBorder="1"/>
    <xf numFmtId="0" fontId="9" fillId="0" borderId="7" xfId="0" applyFont="1" applyBorder="1" applyAlignment="1">
      <alignment horizontal="center" vertical="center"/>
    </xf>
    <xf numFmtId="2" fontId="2" fillId="0" borderId="15" xfId="0" applyNumberFormat="1" applyFont="1" applyBorder="1" applyAlignment="1">
      <alignment horizontal="right"/>
    </xf>
    <xf numFmtId="16" fontId="4" fillId="0" borderId="1" xfId="0" applyNumberFormat="1" applyFont="1" applyBorder="1" applyAlignment="1">
      <alignment horizontal="center" vertical="center"/>
    </xf>
    <xf numFmtId="0" fontId="4" fillId="0" borderId="0" xfId="0" applyFont="1"/>
    <xf numFmtId="0" fontId="3" fillId="0" borderId="6" xfId="0" applyFont="1" applyBorder="1" applyAlignment="1">
      <alignment horizontal="center" vertical="center"/>
    </xf>
    <xf numFmtId="2" fontId="2" fillId="0" borderId="5" xfId="0" applyNumberFormat="1" applyFont="1" applyBorder="1" applyAlignment="1">
      <alignment horizontal="right"/>
    </xf>
    <xf numFmtId="0" fontId="4" fillId="0" borderId="6" xfId="0" applyFont="1" applyBorder="1"/>
    <xf numFmtId="0" fontId="9" fillId="0" borderId="18" xfId="0" applyFont="1" applyBorder="1" applyAlignment="1">
      <alignment horizontal="center" vertical="center"/>
    </xf>
    <xf numFmtId="14" fontId="4" fillId="0" borderId="5" xfId="0" applyNumberFormat="1" applyFont="1" applyBorder="1"/>
    <xf numFmtId="14" fontId="4" fillId="0" borderId="14" xfId="0" applyNumberFormat="1" applyFont="1" applyBorder="1"/>
    <xf numFmtId="14" fontId="4" fillId="0" borderId="5" xfId="0" applyNumberFormat="1" applyFont="1" applyBorder="1" applyAlignment="1">
      <alignment horizontal="center"/>
    </xf>
    <xf numFmtId="14" fontId="4" fillId="0" borderId="14" xfId="0" applyNumberFormat="1" applyFont="1" applyBorder="1" applyAlignment="1">
      <alignment horizontal="center"/>
    </xf>
    <xf numFmtId="0" fontId="10" fillId="0" borderId="5" xfId="0" applyFont="1" applyBorder="1"/>
    <xf numFmtId="0" fontId="3" fillId="0" borderId="2" xfId="0" applyFont="1" applyBorder="1"/>
    <xf numFmtId="164" fontId="3" fillId="0" borderId="1" xfId="0" applyNumberFormat="1" applyFont="1" applyBorder="1"/>
    <xf numFmtId="0" fontId="3" fillId="0" borderId="6" xfId="0" applyFont="1" applyBorder="1" applyAlignment="1">
      <alignment horizontal="center"/>
    </xf>
    <xf numFmtId="14" fontId="9" fillId="0" borderId="5" xfId="0" applyNumberFormat="1" applyFont="1" applyBorder="1"/>
    <xf numFmtId="14" fontId="9" fillId="0" borderId="14" xfId="0" applyNumberFormat="1" applyFont="1" applyBorder="1"/>
    <xf numFmtId="0" fontId="9" fillId="0" borderId="5" xfId="0" applyFont="1" applyBorder="1"/>
    <xf numFmtId="0" fontId="9" fillId="0" borderId="6" xfId="0" applyFont="1" applyBorder="1"/>
    <xf numFmtId="16" fontId="2" fillId="0" borderId="1" xfId="0" applyNumberFormat="1" applyFont="1" applyBorder="1" applyAlignment="1">
      <alignment horizontal="center" vertical="center"/>
    </xf>
    <xf numFmtId="2" fontId="2" fillId="0" borderId="16" xfId="0" applyNumberFormat="1" applyFont="1" applyBorder="1" applyAlignment="1">
      <alignment horizontal="right"/>
    </xf>
    <xf numFmtId="2" fontId="2" fillId="0" borderId="0" xfId="0" applyNumberFormat="1" applyFont="1" applyAlignment="1">
      <alignment horizontal="right"/>
    </xf>
    <xf numFmtId="14" fontId="2" fillId="0" borderId="16" xfId="0" applyNumberFormat="1" applyFont="1" applyBorder="1"/>
    <xf numFmtId="0" fontId="9" fillId="0" borderId="7" xfId="0" applyFont="1" applyBorder="1" applyAlignment="1">
      <alignment horizontal="center"/>
    </xf>
    <xf numFmtId="0" fontId="9" fillId="0" borderId="10" xfId="0" applyFont="1" applyBorder="1"/>
    <xf numFmtId="0" fontId="4" fillId="0" borderId="8" xfId="0" applyFont="1" applyBorder="1"/>
    <xf numFmtId="0" fontId="4" fillId="0" borderId="19"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9" fillId="0" borderId="18" xfId="0" applyFont="1" applyBorder="1" applyAlignment="1">
      <alignment horizontal="center"/>
    </xf>
    <xf numFmtId="14" fontId="2" fillId="0" borderId="8" xfId="0" applyNumberFormat="1" applyFont="1" applyBorder="1"/>
    <xf numFmtId="0" fontId="2" fillId="0" borderId="0" xfId="0" applyFont="1" applyAlignment="1">
      <alignment vertical="top"/>
    </xf>
    <xf numFmtId="14" fontId="2" fillId="0" borderId="1" xfId="0" applyNumberFormat="1" applyFont="1" applyBorder="1"/>
    <xf numFmtId="0" fontId="4" fillId="0" borderId="2" xfId="0" applyFont="1" applyBorder="1" applyAlignment="1">
      <alignment horizontal="center" vertical="center"/>
    </xf>
    <xf numFmtId="14" fontId="2" fillId="0" borderId="21" xfId="0" applyNumberFormat="1" applyFont="1" applyBorder="1"/>
    <xf numFmtId="0" fontId="4" fillId="0" borderId="3" xfId="0" applyFont="1" applyBorder="1" applyAlignment="1">
      <alignment horizontal="left"/>
    </xf>
    <xf numFmtId="0" fontId="9" fillId="0" borderId="0" xfId="0" applyFont="1"/>
    <xf numFmtId="0" fontId="3" fillId="0" borderId="7" xfId="0" applyFont="1" applyBorder="1" applyAlignment="1">
      <alignment horizontal="center" vertical="center"/>
    </xf>
    <xf numFmtId="0" fontId="9" fillId="0" borderId="7" xfId="0" applyFont="1" applyBorder="1"/>
    <xf numFmtId="0" fontId="15" fillId="2" borderId="23" xfId="0" applyFont="1" applyFill="1" applyBorder="1"/>
    <xf numFmtId="0" fontId="0" fillId="0" borderId="22" xfId="0" applyBorder="1"/>
    <xf numFmtId="0" fontId="0" fillId="0" borderId="24" xfId="0" applyBorder="1"/>
    <xf numFmtId="0" fontId="15" fillId="2" borderId="25" xfId="0" applyFont="1" applyFill="1" applyBorder="1"/>
    <xf numFmtId="0" fontId="15" fillId="2" borderId="26" xfId="0" applyFont="1" applyFill="1" applyBorder="1"/>
    <xf numFmtId="0" fontId="15" fillId="2" borderId="27" xfId="0" applyFont="1" applyFill="1" applyBorder="1"/>
    <xf numFmtId="0" fontId="0" fillId="3" borderId="0" xfId="0" applyFill="1"/>
  </cellXfs>
  <cellStyles count="2">
    <cellStyle name="Comma" xfId="1" builtinId="3"/>
    <cellStyle name="Normal" xfId="0" builtinId="0"/>
  </cellStyles>
  <dxfs count="19">
    <dxf>
      <border outline="0">
        <top style="thin">
          <color rgb="FF44B3E1"/>
        </top>
      </border>
    </dxf>
    <dxf>
      <border outline="0">
        <bottom style="thin">
          <color rgb="FF44B3E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indexed="64"/>
        </top>
      </border>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C34C8305-E24B-45FB-985D-D6B098B09C0F}">
    <Anchor>
      <Comment id="{9CEE9786-5AF8-438F-990A-EA2D833AFDD7}"/>
    </Anchor>
    <History>
      <Event time="2025-08-19T15:06:16.23" id="{E9D30C10-C3AC-4CAC-AE04-951E3FEBC249}">
        <Attribution userId="S::jessica.dyrek@pmi.org::edc5c391-0598-4c17-8d07-a8f097e639d6" userName="Jessica Dyrek" userProvider="AD"/>
        <Anchor>
          <Comment id="{9CEE9786-5AF8-438F-990A-EA2D833AFDD7}"/>
        </Anchor>
        <Create/>
      </Event>
      <Event time="2025-08-19T15:06:16.23" id="{1F373FCD-C7FF-4A84-A9B3-305B49B48793}">
        <Attribution userId="S::jessica.dyrek@pmi.org::edc5c391-0598-4c17-8d07-a8f097e639d6" userName="Jessica Dyrek" userProvider="AD"/>
        <Anchor>
          <Comment id="{9CEE9786-5AF8-438F-990A-EA2D833AFDD7}"/>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9CEE9786-5AF8-438F-990A-EA2D833AFDD7}"/>
        </Anchor>
        <SetTitle title="@Samantha Mulford 1 day, confirm dates"/>
      </Event>
    </History>
  </Task>
  <Task id="{0106B72A-CBF4-4757-921E-2F66B62F1748}">
    <Anchor>
      <Comment id="{4FBBF21B-AB19-40ED-90F8-E2531F4B97A1}"/>
    </Anchor>
    <History>
      <Event time="2025-08-19T15:06:44.06" id="{DD749FA7-588B-4B38-82F3-190826352B66}">
        <Attribution userId="S::jessica.dyrek@pmi.org::edc5c391-0598-4c17-8d07-a8f097e639d6" userName="Jessica Dyrek" userProvider="AD"/>
        <Anchor>
          <Comment id="{4FBBF21B-AB19-40ED-90F8-E2531F4B97A1}"/>
        </Anchor>
        <Create/>
      </Event>
      <Event time="2025-08-19T15:06:44.06" id="{DDE649A5-9C5D-498D-AB26-34DB301529FA}">
        <Attribution userId="S::jessica.dyrek@pmi.org::edc5c391-0598-4c17-8d07-a8f097e639d6" userName="Jessica Dyrek" userProvider="AD"/>
        <Anchor>
          <Comment id="{4FBBF21B-AB19-40ED-90F8-E2531F4B97A1}"/>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4FBBF21B-AB19-40ED-90F8-E2531F4B97A1}"/>
        </Anchor>
        <SetTitle title="@Samantha Mulford 3 day, confirm dates"/>
      </Event>
    </History>
  </Task>
  <Task id="{5C3B8E2D-126D-427B-9D81-01D6C7F54725}">
    <Anchor>
      <Comment id="{3C3C81C2-41EA-4280-B606-8D31F84DA0D8}"/>
    </Anchor>
    <History>
      <Event time="2025-10-29T13:15:30.69" id="{9598EA03-6089-4FA2-A788-A16B5A25AB9C}">
        <Attribution userId="S::Sheila.DiGiuseppe@pmi.org::b8f878ed-c0ee-4973-9434-d73fe0b537fa" userName="Sheila DiGiuseppe" userProvider="AD"/>
        <Anchor>
          <Comment id="{3C3C81C2-41EA-4280-B606-8D31F84DA0D8}"/>
        </Anchor>
        <Create/>
      </Event>
      <Event time="2025-10-29T13:15:30.69" id="{DC46A9A0-DA64-45F4-97B2-9B00CF86CA97}">
        <Attribution userId="S::Sheila.DiGiuseppe@pmi.org::b8f878ed-c0ee-4973-9434-d73fe0b537fa" userName="Sheila DiGiuseppe" userProvider="AD"/>
        <Anchor>
          <Comment id="{3C3C81C2-41EA-4280-B606-8D31F84DA0D8}"/>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3C3C81C2-41EA-4280-B606-8D31F84DA0D8}"/>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8CB26389-B772-44B2-AA7A-C47E73A8CBD2}">
    <Anchor>
      <Comment id="{E2FF933D-A0F0-498C-BBB8-089CBBB7CF42}"/>
    </Anchor>
    <History>
      <Event time="2025-08-19T15:08:46.47" id="{5E13F50E-A40B-4803-868E-61A85CDC607A}">
        <Attribution userId="S::jessica.dyrek@pmi.org::edc5c391-0598-4c17-8d07-a8f097e639d6" userName="Jessica Dyrek" userProvider="AD"/>
        <Anchor>
          <Comment id="{E2FF933D-A0F0-498C-BBB8-089CBBB7CF42}"/>
        </Anchor>
        <Create/>
      </Event>
      <Event time="2025-08-19T15:08:46.47" id="{0686E808-EB35-45EB-A8F0-B82BF55C4356}">
        <Attribution userId="S::jessica.dyrek@pmi.org::edc5c391-0598-4c17-8d07-a8f097e639d6" userName="Jessica Dyrek" userProvider="AD"/>
        <Anchor>
          <Comment id="{E2FF933D-A0F0-498C-BBB8-089CBBB7CF42}"/>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E2FF933D-A0F0-498C-BBB8-089CBBB7CF42}"/>
        </Anchor>
        <SetTitle title="@Samantha Mulford 1 day, confirm date"/>
      </Event>
    </History>
  </Task>
  <Task id="{C73CC88C-E266-4045-9FAF-88398EFDF251}">
    <Anchor>
      <Comment id="{9E021B03-69B1-404B-86D1-B90835A5535B}"/>
    </Anchor>
    <History>
      <Event time="2025-08-19T15:07:12.36" id="{5BB5C9E5-8EFB-4CF8-A19B-A5DEF1929EEA}">
        <Attribution userId="S::jessica.dyrek@pmi.org::edc5c391-0598-4c17-8d07-a8f097e639d6" userName="Jessica Dyrek" userProvider="AD"/>
        <Anchor>
          <Comment id="{9E021B03-69B1-404B-86D1-B90835A5535B}"/>
        </Anchor>
        <Create/>
      </Event>
      <Event time="2025-08-19T15:07:12.36" id="{C89B00A0-C6AA-4353-95DC-BE8488E00974}">
        <Attribution userId="S::jessica.dyrek@pmi.org::edc5c391-0598-4c17-8d07-a8f097e639d6" userName="Jessica Dyrek" userProvider="AD"/>
        <Anchor>
          <Comment id="{9E021B03-69B1-404B-86D1-B90835A5535B}"/>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9E021B03-69B1-404B-86D1-B90835A5535B}"/>
        </Anchor>
        <SetTitle title="@Samantha Mulford 4 hour, confirm date and time"/>
      </Event>
    </History>
  </Task>
  <Task id="{65368695-9A3A-4531-ADA6-06273D35D32E}">
    <Anchor>
      <Comment id="{B95E381F-7FD3-4701-AC88-083B155776CD}"/>
    </Anchor>
    <History>
      <Event time="2025-08-19T15:04:45.90" id="{A86ABF56-2ABD-4ACC-9CD9-3ACD3143B5BD}">
        <Attribution userId="S::jessica.dyrek@pmi.org::edc5c391-0598-4c17-8d07-a8f097e639d6" userName="Jessica Dyrek" userProvider="AD"/>
        <Anchor>
          <Comment id="{B95E381F-7FD3-4701-AC88-083B155776CD}"/>
        </Anchor>
        <Create/>
      </Event>
      <Event time="2025-08-19T15:04:45.90" id="{1658032C-A1F8-4F54-B8D1-D1F5DD23C401}">
        <Attribution userId="S::jessica.dyrek@pmi.org::edc5c391-0598-4c17-8d07-a8f097e639d6" userName="Jessica Dyrek" userProvider="AD"/>
        <Anchor>
          <Comment id="{B95E381F-7FD3-4701-AC88-083B155776CD}"/>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B95E381F-7FD3-4701-AC88-083B155776CD}"/>
        </Anchor>
        <SetTitle title="@Samantha Mulford this is a 4 day, please confirm course."/>
      </Event>
    </History>
  </Task>
  <Task id="{6EE564A1-4F04-4D0F-B680-97FE150B36C1}">
    <Anchor>
      <Comment id="{05F79309-85EA-4081-9D2B-AE765E246396}"/>
    </Anchor>
    <History>
      <Event time="2025-08-19T15:19:46.30" id="{623E5F27-428B-4C20-86F9-36485A923314}">
        <Attribution userId="S::jessica.dyrek@pmi.org::edc5c391-0598-4c17-8d07-a8f097e639d6" userName="Jessica Dyrek" userProvider="AD"/>
        <Anchor>
          <Comment id="{05F79309-85EA-4081-9D2B-AE765E246396}"/>
        </Anchor>
        <Create/>
      </Event>
      <Event time="2025-08-19T15:19:46.30" id="{3965EE34-17BE-40B4-A94F-83A875E15E06}">
        <Attribution userId="S::jessica.dyrek@pmi.org::edc5c391-0598-4c17-8d07-a8f097e639d6" userName="Jessica Dyrek" userProvider="AD"/>
        <Anchor>
          <Comment id="{05F79309-85EA-4081-9D2B-AE765E24639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05F79309-85EA-4081-9D2B-AE765E246396}"/>
        </Anchor>
        <SetTitle title="@Samantha Mulford 1 day, confirm date"/>
      </Event>
    </History>
  </Task>
  <Task id="{49F9EADC-2629-4583-8C50-8FDBBE484557}">
    <Anchor>
      <Comment id="{1494941F-29BA-4DBC-8E83-80674982AE71}"/>
    </Anchor>
    <History>
      <Event time="2025-08-19T15:02:53.73" id="{9AAA959A-C9C4-445D-8FF1-2AB4FEBC7659}">
        <Attribution userId="S::jessica.dyrek@pmi.org::edc5c391-0598-4c17-8d07-a8f097e639d6" userName="Jessica Dyrek" userProvider="AD"/>
        <Anchor>
          <Comment id="{1494941F-29BA-4DBC-8E83-80674982AE71}"/>
        </Anchor>
        <Create/>
      </Event>
      <Event time="2025-08-19T15:02:53.73" id="{C7CEBF19-399F-4BF6-BF4D-FA01EBFC637E}">
        <Attribution userId="S::jessica.dyrek@pmi.org::edc5c391-0598-4c17-8d07-a8f097e639d6" userName="Jessica Dyrek" userProvider="AD"/>
        <Anchor>
          <Comment id="{1494941F-29BA-4DBC-8E83-80674982AE71}"/>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1494941F-29BA-4DBC-8E83-80674982AE71}"/>
        </Anchor>
        <SetTitle title="@Samantha Mulford this is a 1 day. Please confirm dates"/>
      </Event>
    </History>
  </Task>
</Tasks>
</file>

<file path=xl/documenttasks/documenttask2.xml><?xml version="1.0" encoding="utf-8"?>
<Tasks xmlns="http://schemas.microsoft.com/office/tasks/2019/documenttasks">
  <Task id="{8D653F15-D387-4405-A3E2-0C90D5C4D288}">
    <Anchor>
      <Comment id="{977060A6-81AA-4862-AC33-92505856D668}"/>
    </Anchor>
    <History>
      <Event time="2025-08-19T15:07:12.36" id="{5BB5C9E5-8EFB-4CF8-A19B-A5DEF1929EEA}">
        <Attribution userId="S::jessica.dyrek@pmi.org::edc5c391-0598-4c17-8d07-a8f097e639d6" userName="Jessica Dyrek" userProvider="AD"/>
        <Anchor>
          <Comment id="{977060A6-81AA-4862-AC33-92505856D668}"/>
        </Anchor>
        <Create/>
      </Event>
      <Event time="2025-08-19T15:07:12.36" id="{C89B00A0-C6AA-4353-95DC-BE8488E00974}">
        <Attribution userId="S::jessica.dyrek@pmi.org::edc5c391-0598-4c17-8d07-a8f097e639d6" userName="Jessica Dyrek" userProvider="AD"/>
        <Anchor>
          <Comment id="{977060A6-81AA-4862-AC33-92505856D668}"/>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977060A6-81AA-4862-AC33-92505856D668}"/>
        </Anchor>
        <SetTitle title="@Samantha Mulford 4 hour, confirm date and time"/>
      </Event>
    </History>
  </Task>
  <Task id="{73343F4F-926F-4496-A060-4EEE58CFB3A0}">
    <Anchor>
      <Comment id="{03D2C06C-93B7-424D-9B7B-9FAC04E59AD4}"/>
    </Anchor>
    <History>
      <Event time="2025-08-19T15:06:16.23" id="{E9D30C10-C3AC-4CAC-AE04-951E3FEBC249}">
        <Attribution userId="S::jessica.dyrek@pmi.org::edc5c391-0598-4c17-8d07-a8f097e639d6" userName="Jessica Dyrek" userProvider="AD"/>
        <Anchor>
          <Comment id="{03D2C06C-93B7-424D-9B7B-9FAC04E59AD4}"/>
        </Anchor>
        <Create/>
      </Event>
      <Event time="2025-08-19T15:06:16.23" id="{1F373FCD-C7FF-4A84-A9B3-305B49B48793}">
        <Attribution userId="S::jessica.dyrek@pmi.org::edc5c391-0598-4c17-8d07-a8f097e639d6" userName="Jessica Dyrek" userProvider="AD"/>
        <Anchor>
          <Comment id="{03D2C06C-93B7-424D-9B7B-9FAC04E59AD4}"/>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03D2C06C-93B7-424D-9B7B-9FAC04E59AD4}"/>
        </Anchor>
        <SetTitle title="@Samantha Mulford 1 day, confirm dates"/>
      </Event>
    </History>
  </Task>
  <Task id="{5060255A-90FE-4217-BBB6-4E8F34634A53}">
    <Anchor>
      <Comment id="{279E6875-C95A-481A-9A70-590B0497ED78}"/>
    </Anchor>
    <History>
      <Event time="2025-08-19T15:04:45.90" id="{A86ABF56-2ABD-4ACC-9CD9-3ACD3143B5BD}">
        <Attribution userId="S::jessica.dyrek@pmi.org::edc5c391-0598-4c17-8d07-a8f097e639d6" userName="Jessica Dyrek" userProvider="AD"/>
        <Anchor>
          <Comment id="{279E6875-C95A-481A-9A70-590B0497ED78}"/>
        </Anchor>
        <Create/>
      </Event>
      <Event time="2025-08-19T15:04:45.90" id="{1658032C-A1F8-4F54-B8D1-D1F5DD23C401}">
        <Attribution userId="S::jessica.dyrek@pmi.org::edc5c391-0598-4c17-8d07-a8f097e639d6" userName="Jessica Dyrek" userProvider="AD"/>
        <Anchor>
          <Comment id="{279E6875-C95A-481A-9A70-590B0497ED78}"/>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279E6875-C95A-481A-9A70-590B0497ED78}"/>
        </Anchor>
        <SetTitle title="@Samantha Mulford this is a 4 day, please confirm course."/>
      </Event>
    </History>
  </Task>
  <Task id="{72799A5B-9777-4989-BCD7-8B0327A09C24}">
    <Anchor>
      <Comment id="{A161B4CF-E5FB-4A61-B649-469FF528EB6B}"/>
    </Anchor>
    <History>
      <Event time="2025-08-19T15:06:44.06" id="{DD749FA7-588B-4B38-82F3-190826352B66}">
        <Attribution userId="S::jessica.dyrek@pmi.org::edc5c391-0598-4c17-8d07-a8f097e639d6" userName="Jessica Dyrek" userProvider="AD"/>
        <Anchor>
          <Comment id="{A161B4CF-E5FB-4A61-B649-469FF528EB6B}"/>
        </Anchor>
        <Create/>
      </Event>
      <Event time="2025-08-19T15:06:44.06" id="{DDE649A5-9C5D-498D-AB26-34DB301529FA}">
        <Attribution userId="S::jessica.dyrek@pmi.org::edc5c391-0598-4c17-8d07-a8f097e639d6" userName="Jessica Dyrek" userProvider="AD"/>
        <Anchor>
          <Comment id="{A161B4CF-E5FB-4A61-B649-469FF528EB6B}"/>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A161B4CF-E5FB-4A61-B649-469FF528EB6B}"/>
        </Anchor>
        <SetTitle title="@Samantha Mulford 3 day, confirm dates"/>
      </Event>
    </History>
  </Task>
  <Task id="{CECDFB85-9742-4350-BA8A-9A4CA40D5419}">
    <Anchor>
      <Comment id="{A5D8A70D-3C0D-4124-924B-33AE674636F9}"/>
    </Anchor>
    <History>
      <Event time="2025-08-19T15:19:46.30" id="{623E5F27-428B-4C20-86F9-36485A923314}">
        <Attribution userId="S::jessica.dyrek@pmi.org::edc5c391-0598-4c17-8d07-a8f097e639d6" userName="Jessica Dyrek" userProvider="AD"/>
        <Anchor>
          <Comment id="{A5D8A70D-3C0D-4124-924B-33AE674636F9}"/>
        </Anchor>
        <Create/>
      </Event>
      <Event time="2025-08-19T15:19:46.30" id="{3965EE34-17BE-40B4-A94F-83A875E15E06}">
        <Attribution userId="S::jessica.dyrek@pmi.org::edc5c391-0598-4c17-8d07-a8f097e639d6" userName="Jessica Dyrek" userProvider="AD"/>
        <Anchor>
          <Comment id="{A5D8A70D-3C0D-4124-924B-33AE674636F9}"/>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A5D8A70D-3C0D-4124-924B-33AE674636F9}"/>
        </Anchor>
        <SetTitle title="@Samantha Mulford 1 day, confirm date"/>
      </Event>
    </History>
  </Task>
  <Task id="{CA437B98-15F7-45FF-8EA6-E7798DD71356}">
    <Anchor>
      <Comment id="{005ABA28-17CF-4568-98F1-6A682611C5E4}"/>
    </Anchor>
    <History>
      <Event time="2025-08-19T15:02:53.73" id="{9AAA959A-C9C4-445D-8FF1-2AB4FEBC7659}">
        <Attribution userId="S::jessica.dyrek@pmi.org::edc5c391-0598-4c17-8d07-a8f097e639d6" userName="Jessica Dyrek" userProvider="AD"/>
        <Anchor>
          <Comment id="{005ABA28-17CF-4568-98F1-6A682611C5E4}"/>
        </Anchor>
        <Create/>
      </Event>
      <Event time="2025-08-19T15:02:53.73" id="{C7CEBF19-399F-4BF6-BF4D-FA01EBFC637E}">
        <Attribution userId="S::jessica.dyrek@pmi.org::edc5c391-0598-4c17-8d07-a8f097e639d6" userName="Jessica Dyrek" userProvider="AD"/>
        <Anchor>
          <Comment id="{005ABA28-17CF-4568-98F1-6A682611C5E4}"/>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005ABA28-17CF-4568-98F1-6A682611C5E4}"/>
        </Anchor>
        <SetTitle title="@Samantha Mulford this is a 1 day. Please confirm dates"/>
      </Event>
    </History>
  </Task>
  <Task id="{EF8C32BE-85F8-4598-9C90-14272BD8DB17}">
    <Anchor>
      <Comment id="{33A979F6-3965-48B9-845A-1598D9CEEFB9}"/>
    </Anchor>
    <History>
      <Event time="2025-08-19T15:08:46.47" id="{5E13F50E-A40B-4803-868E-61A85CDC607A}">
        <Attribution userId="S::jessica.dyrek@pmi.org::edc5c391-0598-4c17-8d07-a8f097e639d6" userName="Jessica Dyrek" userProvider="AD"/>
        <Anchor>
          <Comment id="{33A979F6-3965-48B9-845A-1598D9CEEFB9}"/>
        </Anchor>
        <Create/>
      </Event>
      <Event time="2025-08-19T15:08:46.47" id="{0686E808-EB35-45EB-A8F0-B82BF55C4356}">
        <Attribution userId="S::jessica.dyrek@pmi.org::edc5c391-0598-4c17-8d07-a8f097e639d6" userName="Jessica Dyrek" userProvider="AD"/>
        <Anchor>
          <Comment id="{33A979F6-3965-48B9-845A-1598D9CEEFB9}"/>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33A979F6-3965-48B9-845A-1598D9CEEFB9}"/>
        </Anchor>
        <SetTitle title="@Samantha Mulford 1 day, confirm date"/>
      </Event>
    </History>
  </Task>
  <Task id="{45EED8CA-9CB2-4694-9C3B-2DFDE3DF6E09}">
    <Anchor>
      <Comment id="{362A5173-792B-48B9-8EF8-20FBEB01D640}"/>
    </Anchor>
    <History>
      <Event time="2025-10-29T13:15:30.69" id="{9598EA03-6089-4FA2-A788-A16B5A25AB9C}">
        <Attribution userId="S::Sheila.DiGiuseppe@pmi.org::b8f878ed-c0ee-4973-9434-d73fe0b537fa" userName="Sheila DiGiuseppe" userProvider="AD"/>
        <Anchor>
          <Comment id="{362A5173-792B-48B9-8EF8-20FBEB01D640}"/>
        </Anchor>
        <Create/>
      </Event>
      <Event time="2025-10-29T13:15:30.69" id="{DC46A9A0-DA64-45F4-97B2-9B00CF86CA97}">
        <Attribution userId="S::Sheila.DiGiuseppe@pmi.org::b8f878ed-c0ee-4973-9434-d73fe0b537fa" userName="Sheila DiGiuseppe" userProvider="AD"/>
        <Anchor>
          <Comment id="{362A5173-792B-48B9-8EF8-20FBEB01D640}"/>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362A5173-792B-48B9-8EF8-20FBEB01D640}"/>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Jessica Dyrek" id="{5AAB7731-6285-4C1E-AA38-97F5D84270EE}" userId="Jessica.Dyrek@pmi.org" providerId="PeoplePicker"/>
  <person displayName="Samantha Mulford" id="{D0A50C16-15EB-46A0-A1F1-EB616FBF07C1}" userId="Samantha.Mulford@pmi.org" providerId="PeoplePicker"/>
  <person displayName="Jessica Dyrek" id="{BA5AB70F-596D-4B5A-86BD-A3888B4AD58C}" userId="S::jessica.dyrek@pmi.org::edc5c391-0598-4c17-8d07-a8f097e639d6" providerId="AD"/>
  <person displayName="Samantha Mulford" id="{8783582F-1207-4868-A58F-89A9A065BDBC}" userId="S::Samantha.Mulford@pmi.org::f01f551b-b9b3-4039-8298-cb4ef60fe87c" providerId="AD"/>
  <person displayName="Samantha Mulford" id="{C64FDB53-19F7-490A-91D9-D4A0317621B2}" userId="S::samantha.mulford@pmi.org::f01f551b-b9b3-4039-8298-cb4ef60fe87c" providerId="AD"/>
  <person displayName="Sheila DiGiuseppe" id="{EF441AF9-D6EE-4E22-8436-4E0B6B20A265}" userId="S::Sheila.DiGiuseppe@pmi.org::b8f878ed-c0ee-4973-9434-d73fe0b537f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54DB1-4E1F-470A-8C3C-34BFFF0BE436}" name="Table1" displayName="Table1" ref="A1:E1048576" totalsRowShown="0" headerRowDxfId="18" headerRowBorderDxfId="17" tableBorderDxfId="16">
  <autoFilter ref="A1:E1048576" xr:uid="{9A754DB1-4E1F-470A-8C3C-34BFFF0BE436}">
    <filterColumn colId="1">
      <filters>
        <filter val="A Non-Bootcamp Review of the PMBOK® Guide for Real-World Practitioners"/>
        <filter val="ACP Skills"/>
        <filter val="Adapt, Adopt, and Accomplish for Project Management Success"/>
        <filter val="Adaptive PMO: Mastering Agile Transformation"/>
        <filter val="Adaptive Project Management"/>
        <filter val="Agile Fundamentals: Delivering Value"/>
        <filter val="Agile Leadership for Digital Transformation"/>
        <filter val="AI Agents for Project Excellence"/>
        <filter val="AI Applications: Future-Proofing your PMO"/>
        <filter val="AI Change Management"/>
        <filter val="AI Ethics for Project Managers"/>
        <filter val="AI for People-First Project Management"/>
        <filter val="AI for Strategic Decisions:  Leveraging Analysis"/>
        <filter val="AI for Strategic Decisions: Leveraging Analysis"/>
        <filter val="Aligning the Organization Through Portfolio Management"/>
        <filter val="Analyst’s Guide to Gathering Product and Project Requirements"/>
        <filter val="Artificial Intelligence Applied Skills: Unlocking Project Automation and Efficiency Gains"/>
        <filter val="Artificial Intelligence-Powered Project Excellence: Roadmaps, Success Strategies, and Practical Tools"/>
        <filter val="Become a Changemaker: Transform Organizations"/>
        <filter val="Build High-Performing Teams: Communicate, Motivate, Excel"/>
        <filter val="Business Analysis Strategies: Enable Project Success"/>
        <filter val="Business Case—Best Practices for Success"/>
        <filter val="Can deliver Construction courses- based in Egypt/Saudia Arabia - multilingual"/>
        <filter val="Change Acceleration: Simplify and Succeed"/>
        <filter val="Change Management for Project Success"/>
        <filter val="Change Management: Navigate the Future"/>
        <filter val="Cognitive Diversity: Leverage Your Thinking Style"/>
        <filter val="Communication GPS: Keep Your Project on Track"/>
        <filter val="Construction Execution Planning"/>
        <filter val="Construction Performance and Materials Management"/>
        <filter val="Courageous Sponsorship"/>
        <filter val="Creative Problem-Solving: Think Beyond the Linear"/>
        <filter val="Developing High Performing Agile Teams"/>
        <filter val="Developing Your EQ to RISE (Reach, Inspire, Serve, and Engage)"/>
        <filter val="Developing Your EQ to RISE (Reach, Inspire, Serve, and Engage) (Beyond Boss Mode from Control to co-elevation)"/>
        <filter val="Disciplined Agile Foundations: Approaches for Team Agility"/>
        <filter val="Drive Digital Transformation at Scale"/>
        <filter val="Embracing AI in your Projects"/>
        <filter val="Empowering Leaders to Execute Strategically"/>
        <filter val="Enterprise Risk Management: Master Complex Projects"/>
        <filter val="Evolve Your PMO"/>
        <filter val="From PMBOK® to Practice: Building Your PM Competency Foundation"/>
        <filter val="Governance That Works: Psychology, Strategy and Tools"/>
        <filter val="How to Capture Customer Requirements and Develop Project Scope"/>
        <filter val="How to Think Strategically and Apply Business Acumen"/>
        <filter val="Human Design Pattern Thinking"/>
        <filter val="Human Pattern Design Thinking"/>
        <filter val="Hybrid Agility: Blend Traditional and Adaptive Methods"/>
        <filter val="Hybrid Project Management: The Best of Both Worlds"/>
        <filter val="Implement a Strategic PMO: Drive Business Value"/>
        <filter val="Influence Without Authority"/>
        <filter val="Influencing Without Authority"/>
        <filter val="Influencing Without Authority Interactive Briefing"/>
        <filter val="Lead Anywhere: Master Matrix and Remote Teams"/>
        <filter val="Lead Through Uncertainty: Next-Gen Communication Skills"/>
        <filter val="Lead with Emotional Intelligence"/>
        <filter val="Leadership Brilliance: Unlock Your Confidence and Courage"/>
        <filter val="Leadership Discovery of your Value and Reputation"/>
        <filter val="Leading Change that Sticks; Drive Adoption and Results"/>
        <filter val="Leading Remote Teams"/>
        <filter val="Leading Strategic Initiatives (Program Management)"/>
        <filter val="Leading with AI for Project Managers"/>
        <filter val="Managing the Human Side of Projects"/>
        <filter val="Master Business Acumen Part 1: Become Business-Savvy"/>
        <filter val="Master Business Acumen Part 2: Drive Business Value"/>
        <filter val="Master the Principles: Accelerate Project Success"/>
        <filter val="Mastering Adaptability for Modern Project Success"/>
        <filter val="Mastering Project Management Principles"/>
        <filter val="Measure What Matters: Track Benefits Realization"/>
        <filter val="Microsoft 365 Copilot: AI for PM Productivity"/>
        <filter val="Negotiate to Win: Build Partnerships, Secure Resources"/>
        <filter val="NEW! Construction Technology and Innovation"/>
        <filter val="NEW! Leading AI-enabled Product Development"/>
        <filter val="Next-Gen PMO: Build for Uncertainty"/>
        <filter val="Orchestrate Total Success: People, Projects, Change"/>
        <filter val="Plan and Control: Project Management Foundations"/>
        <filter val="PM Tools &amp; Techniques: Facilitate Creative Solutions"/>
        <filter val="PMP Skills"/>
        <filter val="Power Skills: Lead, Influence, and Navigate"/>
        <filter val="Proactive Risk Management"/>
        <filter val="Program Management Adaptive Practices"/>
        <filter val="Program Management Master Class"/>
        <filter val="Project Management Foundations: Launch Your Success"/>
        <filter val="Project Risk Mastery: Anticipate and Respond"/>
        <filter val="Project TLC Cohort (need to resolve 5 week schedule)"/>
        <filter val="Project TLC:  Teamwork, Leadership, Communications"/>
        <filter val="Psychological Safety at Work"/>
        <filter val="Rise Through Resilience"/>
        <filter val="Risk Management Essentials"/>
        <filter val="Scope Management Secrets"/>
        <filter val="Solve the Problem, Not the Symptom"/>
        <filter val="Stakeholder Analysis for a Meaningful Engagement "/>
        <filter val="Strategic Portfolio Management"/>
        <filter val="TBD"/>
        <filter val="The Adaptive PMO: Mastering Agile Transformation"/>
        <filter val="The Engaged, Empowered, and Happy Stakeholder "/>
        <filter val="The VMO Master Class"/>
        <filter val="Thrive in the AI Era: Future-Ready PM Skills"/>
        <filter val="Value Management – Designed, Built, and Operationalized for Success"/>
      </filters>
    </filterColumn>
  </autoFilter>
  <tableColumns count="5">
    <tableColumn id="1" xr3:uid="{1ED9F6EA-E3CD-4A6B-A1F9-51D14BF8F5AF}" name="Course ID "/>
    <tableColumn id="2" xr3:uid="{6ADB330D-5B6D-4E55-8006-406414854EF0}" name="Course Title"/>
    <tableColumn id="3" xr3:uid="{E911DD54-BAC7-4FFB-BE90-F6BB22A64FCC}" name="Instructor"/>
    <tableColumn id="4" xr3:uid="{E103BD0A-C7D3-4EAC-8FC1-208A1937E49E}" name="# of DAYS"/>
    <tableColumn id="5" xr3:uid="{74BC4F0D-2F71-439E-A08A-40B79BCA8E37}" name="TOPI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8C2F32-D25C-4A1E-8523-799234BC58AB}" name="Table3" displayName="Table3" ref="A1:E182" totalsRowShown="0">
  <autoFilter ref="A1:E182" xr:uid="{218C2F32-D25C-4A1E-8523-799234BC58AB}">
    <filterColumn colId="0">
      <filters>
        <filter val="0024D"/>
        <filter val="0032D"/>
        <filter val="0082D"/>
        <filter val="0102D"/>
        <filter val="0132D"/>
        <filter val="0182D"/>
        <filter val="0192D"/>
        <filter val="0282D"/>
        <filter val="0342D"/>
        <filter val="0372D"/>
        <filter val="0402D"/>
        <filter val="0422D"/>
        <filter val="0432D"/>
        <filter val="0482D"/>
        <filter val="0541D"/>
        <filter val="0552D"/>
        <filter val="0562D"/>
        <filter val="0582D"/>
        <filter val="0612D"/>
        <filter val="0621D"/>
        <filter val="0643D"/>
        <filter val="0672D"/>
        <filter val="0682D"/>
        <filter val="0694D"/>
        <filter val="0724D"/>
        <filter val="0742D"/>
        <filter val="0784H"/>
        <filter val="0823D"/>
        <filter val="0872D"/>
        <filter val="0904D"/>
        <filter val="0951D"/>
        <filter val="1022D"/>
        <filter val="1042D"/>
        <filter val="1074H"/>
        <filter val="1091D"/>
        <filter val="1101D"/>
        <filter val="1132D"/>
        <filter val="1203D"/>
        <filter val="1211D"/>
        <filter val="1243D"/>
        <filter val="1251D"/>
        <filter val="1344H"/>
        <filter val="1394H"/>
        <filter val="1402D"/>
        <filter val="1414H"/>
        <filter val="1421D"/>
        <filter val="1464D"/>
        <filter val="1482D"/>
        <filter val="1492D"/>
        <filter val="1524H"/>
        <filter val="1542D"/>
        <filter val="1552D"/>
        <filter val="1602D"/>
        <filter val="1641D"/>
        <filter val="1651D"/>
        <filter val="1681D"/>
        <filter val="1692D"/>
        <filter val="1702D"/>
        <filter val="1712D"/>
        <filter val="1724D"/>
        <filter val="1731D"/>
        <filter val="1741D"/>
        <filter val="1752D"/>
        <filter val="1762D"/>
        <filter val="1774D"/>
        <filter val="1782D"/>
        <filter val="1802D"/>
        <filter val="1813D"/>
        <filter val="1821D"/>
        <filter val="1831D"/>
        <filter val="1864H"/>
        <filter val="1882D"/>
        <filter val="1892D"/>
        <filter val="1902D"/>
        <filter val="1912D"/>
        <filter val="1932D"/>
        <filter val="1962D"/>
        <filter val="1972D"/>
        <filter val="1991D"/>
        <filter val="2002D"/>
        <filter val="2012D"/>
        <filter val="2022D"/>
        <filter val="2033D"/>
        <filter val="2053D"/>
        <filter val="2063D"/>
        <filter val="2072D"/>
        <filter val="2084D"/>
        <filter val="2092D"/>
        <filter val="NEW"/>
        <filter val="New 2D"/>
        <filter val="TBD"/>
      </filters>
    </filterColumn>
    <filterColumn colId="1">
      <filters>
        <filter val="A Non-Bootcamp Review of the PMBOK® Guide for Real-World Practitioners"/>
        <filter val="ACP Skills"/>
        <filter val="Adapt, Adopt, and Accomplish for Project Management Success"/>
        <filter val="Adaptive PMO: Mastering Agile Transformation"/>
        <filter val="Adaptive Project Management"/>
        <filter val="Agile Fundamentals: Delivering Value"/>
        <filter val="Agile Leadership for Digital Transformation"/>
        <filter val="AI Agents for Project Excellence"/>
        <filter val="AI Applications: Future-Proofing your PMO"/>
        <filter val="AI Change Management"/>
        <filter val="AI Ethics for Project Managers"/>
        <filter val="AI for People-First Project Management"/>
        <filter val="AI for Strategic Decisions:  Leveraging Analysis"/>
        <filter val="AI for Strategic Decisions: Leveraging Analysis"/>
        <filter val="Aligning the Organization Through Portfolio Management"/>
        <filter val="Analyst’s Guide to Gathering Product and Project Requirements"/>
        <filter val="Artificial Intelligence Applied Skills: Unlocking Project Automation and Efficiency Gains"/>
        <filter val="Artificial Intelligence-Powered Project Excellence: Roadmaps, Success Strategies, and Practical Tools"/>
        <filter val="August 3-6 (In-Person) San Diego PDT"/>
        <filter val="Become a Changemaker: Transform Organizations"/>
        <filter val="Build High-Performing Teams: Communicate, Motivate, Excel"/>
        <filter val="Business Analysis Strategies: Enable Project Success"/>
        <filter val="Business Case—Best Practices for Success"/>
        <filter val="Can deliver Construction courses- based in Egypt/Saudia Arabia - multilingual"/>
        <filter val="Change Acceleration: Simplify and Succeed"/>
        <filter val="Change Management for Project Success"/>
        <filter val="Change Management: Navigate the Future"/>
        <filter val="Cognitive Diversity: Leverage Your Thinking Style"/>
        <filter val="Communication GPS: Keep Your Project on Track"/>
        <filter val="Construction Execution Planning"/>
        <filter val="Construction Performance and Materials Management"/>
        <filter val="Courageous Sponsorship"/>
        <filter val="Creative Problem-Solving: Think Beyond the Linear"/>
        <filter val="December 7-10 (In Person) Las Vegas PDT"/>
        <filter val="Developing High Performing Agile Teams"/>
        <filter val="Developing Your EQ to RISE (Reach, Inspire, Serve, and Engage)"/>
        <filter val="Developing Your EQ to RISE (Reach, Inspire, Serve, and Engage) (Beyond Boss Mode from Control to co-elevation)"/>
        <filter val="Disciplined Agile Foundations: Approaches for Team Agility"/>
        <filter val="Drive Digital Transformation at Scale"/>
        <filter val="Embracing AI in your Projects"/>
        <filter val="Empowering Leaders to Execute Strategically"/>
        <filter val="Enterprise Risk Management: Master Complex Projects"/>
        <filter val="Evolve Your PMO"/>
        <filter val="From PMBOK® to Practice: Building Your PM Competency Foundation"/>
        <filter val="Governance That Works: Psychology, Strategy and Tools"/>
        <filter val="How to Capture Customer Requirements and Develop Project Scope"/>
        <filter val="How to Think Strategically and Apply Business Acumen"/>
        <filter val="Human Design Pattern Thinking"/>
        <filter val="Human Pattern Design Thinking"/>
        <filter val="Hybrid Agility: Blend Traditional and Adaptive Methods"/>
        <filter val="Hybrid Project Management: The Best of Both Worlds"/>
        <filter val="Implement a Strategic PMO: Drive Business Value"/>
        <filter val="Influence Without Authority"/>
        <filter val="Influencing Without Authority"/>
        <filter val="Influencing Without Authority Interactive Briefing"/>
        <filter val="Lead Anywhere: Master Matrix and Remote Teams"/>
        <filter val="Lead Through Uncertainty: Next-Gen Communication Skills"/>
        <filter val="Lead with Emotional Intelligence"/>
        <filter val="Leadership Brilliance: Unlock Your Confidence and Courage"/>
        <filter val="Leadership Discovery of your Value and Reputation"/>
        <filter val="Leading Change that Sticks; Drive Adoption and Results"/>
        <filter val="Leading Remote Teams"/>
        <filter val="Leading Strategic Initiatives (Program Management)"/>
        <filter val="Leading with AI for Project Managers"/>
        <filter val="Managing the Human Side of Projects"/>
        <filter val="Master Business Acumen Part 1: Become Business-Savvy"/>
        <filter val="Master Business Acumen Part 2: Drive Business Value"/>
        <filter val="Master the Principles: Accelerate Project Success"/>
        <filter val="Mastering Adaptability for Modern Project Success"/>
        <filter val="Mastering Project Management Principles"/>
        <filter val="Measure What Matters: Track Benefits Realization"/>
        <filter val="Microsoft 365 Copilot: AI for PM Productivity"/>
        <filter val="Negotiate to Win: Build Partnerships, Secure Resources"/>
        <filter val="NEW! Construction Technology and Innovation"/>
        <filter val="NEW! Leading AI-enabled Product Development"/>
        <filter val="Next-Gen PMO: Build for Uncertainty"/>
        <filter val="OPEN"/>
        <filter val="Orchestrate Total Success: People, Projects, Change"/>
        <filter val="ORLANDO (IP) 15- 18 JUNE EDT"/>
        <filter val="Plan and Control: Project Management Foundations"/>
        <filter val="PM Tools &amp; Techniques: Facilitate Creative Solutions"/>
        <filter val="PMP Skills"/>
        <filter val="Power Skills: Lead, Influence, and Navigate"/>
        <filter val="Proactive Risk Management"/>
        <filter val="Program Management Adaptive Practices"/>
        <filter val="Program Management Master Class"/>
        <filter val="Project Management Foundations: Launch Your Success"/>
        <filter val="Project Risk Mastery: Anticipate and Respond"/>
        <filter val="Project TLC Cohort (need to resolve 5 week schedule)"/>
        <filter val="Project TLC:  Teamwork, Leadership, Communications"/>
        <filter val="Psychological Safety at Work"/>
        <filter val="Rise Through Resilience"/>
        <filter val="Risk Management Essentials"/>
        <filter val="Scope Management Secrets"/>
        <filter val="Solve the Problem, Not the Symptom"/>
        <filter val="Stakeholder Analysis for a Meaningful Engagement "/>
        <filter val="Strategic Portfolio Management"/>
        <filter val="TBD"/>
        <filter val="The Adaptive PMO: Mastering Agile Transformation"/>
        <filter val="The Engaged, Empowered, and Happy Stakeholder "/>
        <filter val="The VMO Master Class"/>
        <filter val="Thrive in the AI Era: Future-Ready PM Skills"/>
        <filter val="Value Management – Designed, Built, and Operationalized for Success"/>
      </filters>
    </filterColumn>
  </autoFilter>
  <tableColumns count="5">
    <tableColumn id="1" xr3:uid="{40F70F55-8127-423E-AD7A-5357A4A5EF34}" name="Course_ID"/>
    <tableColumn id="2" xr3:uid="{DB3A61B5-D753-4D05-9D42-DD6C919CD796}" name="Course_Name"/>
    <tableColumn id="3" xr3:uid="{C55FEABF-FDB1-46BE-8E47-190F6E23F131}" name="Instructor"/>
    <tableColumn id="4" xr3:uid="{FEF59BA6-E4D0-47FD-96FE-E06F9BCAD607}" name="Duration_Days"/>
    <tableColumn id="5" xr3:uid="{CC638D79-A31E-442D-AD40-1F9CBD5A565B}" name="TOPI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17CE91-6F2D-4FD9-BD14-C2F10C47A727}" name="Table4" displayName="Table4" ref="A1:E157" totalsRowShown="0" headerRowDxfId="15" dataDxfId="13" headerRowBorderDxfId="14" tableBorderDxfId="12" totalsRowBorderDxfId="11">
  <autoFilter ref="A1:E157" xr:uid="{0B17CE91-6F2D-4FD9-BD14-C2F10C47A727}"/>
  <sortState xmlns:xlrd2="http://schemas.microsoft.com/office/spreadsheetml/2017/richdata2" ref="A2:E157">
    <sortCondition ref="A1:A157"/>
  </sortState>
  <tableColumns count="5">
    <tableColumn id="1" xr3:uid="{300C4B56-6AD2-498F-A5EC-0B1C27527F78}" name="Course_ID" dataDxfId="10"/>
    <tableColumn id="3" xr3:uid="{CA628A62-9D0D-4F06-BA32-ED1B78D9E7CB}" name="Instructor" dataDxfId="9"/>
    <tableColumn id="2" xr3:uid="{8FD134A2-0E04-464D-89DE-DF6CA9229D48}" name="Course_Name" dataDxfId="8"/>
    <tableColumn id="4" xr3:uid="{3188DD13-718A-42E4-A064-BF3D7A9C4D81}" name="Duration_Days" dataDxfId="7"/>
    <tableColumn id="5" xr3:uid="{4C4A1C66-1BA5-43A2-B99F-82EF17F83843}" name="TOPIC"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A64D9E-65A6-4F63-94E6-0A6CE0063594}" name="Table6" displayName="Table6" ref="A1:E104" totalsRowShown="0" headerRowDxfId="5" headerRowBorderDxfId="4" tableBorderDxfId="3">
  <autoFilter ref="A1:E104" xr:uid="{C5A64D9E-65A6-4F63-94E6-0A6CE0063594}"/>
  <sortState xmlns:xlrd2="http://schemas.microsoft.com/office/spreadsheetml/2017/richdata2" ref="A2:E104">
    <sortCondition ref="B1:B104"/>
  </sortState>
  <tableColumns count="5">
    <tableColumn id="1" xr3:uid="{1D1E58C8-A17C-4214-A343-A85DD7052B73}" name="Course_ID"/>
    <tableColumn id="2" xr3:uid="{52CA8CA3-40B4-42D3-9AC1-A3DFAFF393B7}" name="Instructor"/>
    <tableColumn id="3" xr3:uid="{61E816F0-F0C3-47BA-AC1A-937285B3C75D}" name="Course_Name"/>
    <tableColumn id="4" xr3:uid="{484BBBBC-CC3C-4FE0-84F7-27BB9406C58A}" name="Duration_Days"/>
    <tableColumn id="5" xr3:uid="{60F2843D-2662-45B3-9E82-18A00900E6CB}" name="TOPIC"/>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961DDC-9553-424B-B5B3-C6BC7EBF15D9}" name="Table68" displayName="Table68" ref="A1:G104" totalsRowShown="0" headerRowDxfId="2" headerRowBorderDxfId="1" tableBorderDxfId="0">
  <autoFilter ref="A1:G104" xr:uid="{C5A64D9E-65A6-4F63-94E6-0A6CE0063594}"/>
  <sortState xmlns:xlrd2="http://schemas.microsoft.com/office/spreadsheetml/2017/richdata2" ref="A2:E104">
    <sortCondition ref="B1:B104"/>
  </sortState>
  <tableColumns count="7">
    <tableColumn id="1" xr3:uid="{1EA4886C-7F6A-45B2-BF47-3C205C9728FF}" name="Course_ID"/>
    <tableColumn id="2" xr3:uid="{2CE14362-D667-4030-989A-9991A43655F7}" name="Instructor"/>
    <tableColumn id="3" xr3:uid="{7B54C11A-5B34-431B-B6CD-791F332A0348}" name="Course_Name"/>
    <tableColumn id="4" xr3:uid="{D6FC40DD-00F4-40E3-A056-B8121B2255C8}" name="Duration_Days"/>
    <tableColumn id="5" xr3:uid="{61C6328B-5405-460C-8535-8E98961B9CEC}" name="TOPIC"/>
    <tableColumn id="6" xr3:uid="{5DCE1DDD-AAB4-42BD-8B2E-5A94B075B5FA}" name="Column1"/>
    <tableColumn id="7" xr3:uid="{16A24D22-1294-4EE2-9097-437FFAE415AC}"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EF441AF9-D6EE-4E22-8436-4E0B6B20A265}" id="{19029136-CABC-4377-8AFC-371C129EF6FC}">
    <text>Ck rooms</text>
  </threadedComment>
  <threadedComment ref="C3" dT="2025-07-18T14:09:11.76" personId="{C64FDB53-19F7-490A-91D9-D4A0317621B2}" id="{C55D50F4-AFEC-43CB-8903-48090D84AE2B}">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C64FDB53-19F7-490A-91D9-D4A0317621B2}" id="{5DE88907-4638-49BA-ABF1-03B347E4CE52}">
    <text>Name change was Develop Your AI Use Cases and Change Management Plan</text>
  </threadedComment>
  <threadedComment ref="B28" dT="2025-08-19T15:04:45.69" personId="{BA5AB70F-596D-4B5A-86BD-A3888B4AD58C}" id="{B95E381F-7FD3-4701-AC88-083B155776CD}">
    <text xml:space="preserve">@Samantha Mulford this is a 4 day, please confirm course. </text>
    <mentions>
      <mention mentionpersonId="{D0A50C16-15EB-46A0-A1F1-EB616FBF07C1}" mentionId="{863E32A9-8D49-4BEE-86AE-0417C2767EE6}" startIndex="0" length="17"/>
    </mentions>
  </threadedComment>
  <threadedComment ref="B28" dT="2025-08-19T17:34:11.27" personId="{C64FDB53-19F7-490A-91D9-D4A0317621B2}" id="{043466D7-0763-4D91-A287-300BD5852B94}" parentId="{B95E381F-7FD3-4701-AC88-083B155776CD}">
    <text>Removing the additional 2 day from the schedule 1464D will remain updated schedule to be 03/16 - 03/19 for 4D delivery</text>
  </threadedComment>
  <threadedComment ref="B31" dT="2025-08-19T15:02:53.57" personId="{BA5AB70F-596D-4B5A-86BD-A3888B4AD58C}" id="{1494941F-29BA-4DBC-8E83-80674982AE71}">
    <text xml:space="preserve">@Samantha Mulford this is a 1 day. Please confirm dates </text>
    <mentions>
      <mention mentionpersonId="{D0A50C16-15EB-46A0-A1F1-EB616FBF07C1}" mentionId="{AB6CB59D-85FF-4F24-8E5F-132A2951723E}" startIndex="0" length="17"/>
    </mentions>
  </threadedComment>
  <threadedComment ref="B31" dT="2025-08-21T15:17:15.91" personId="{8783582F-1207-4868-A58F-89A9A065BDBC}" id="{F354D958-DDFB-4169-9187-977FB67C35E6}" parentId="{1494941F-29BA-4DBC-8E83-80674982AE71}">
    <text>This should be 1091D Next-Generation Change Management and Transformation: How to Be a Changemaker 3/17/2026</text>
  </threadedComment>
  <threadedComment ref="B32" dT="2025-08-21T15:20:37.44" personId="{8783582F-1207-4868-A58F-89A9A065BDBC}" id="{A98203DE-A7C0-448B-A783-9A901A98C950}">
    <text xml:space="preserve">@Jessica Dyrek checking this is also a one day for Greta 1101D - 3/16/2026 </text>
    <mentions>
      <mention mentionpersonId="{5AAB7731-6285-4C1E-AA38-97F5D84270EE}" mentionId="{5891364D-3A41-42D5-9939-4D00B05403DA}" startIndex="0" length="14"/>
    </mentions>
  </threadedComment>
  <threadedComment ref="M53" dT="2025-10-29T13:15:30.69" personId="{EF441AF9-D6EE-4E22-8436-4E0B6B20A265}" id="{3C3C81C2-41EA-4280-B606-8D31F84DA0D8}"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0A50C16-15EB-46A0-A1F1-EB616FBF07C1}" mentionId="{B4CA931A-DACA-47BD-979D-056644BEE68E}" startIndex="0" length="17"/>
    </mentions>
  </threadedComment>
  <threadedComment ref="B77" dT="2025-08-19T15:06:16.05" personId="{BA5AB70F-596D-4B5A-86BD-A3888B4AD58C}" id="{9CEE9786-5AF8-438F-990A-EA2D833AFDD7}">
    <text xml:space="preserve">@Samantha Mulford 1 day, confirm dates </text>
    <mentions>
      <mention mentionpersonId="{D0A50C16-15EB-46A0-A1F1-EB616FBF07C1}" mentionId="{C3BAD894-7F66-40E5-8910-C28D160BE09F}" startIndex="0" length="17"/>
    </mentions>
  </threadedComment>
  <threadedComment ref="B77" dT="2025-08-21T15:25:17.30" personId="{8783582F-1207-4868-A58F-89A9A065BDBC}" id="{D77508EB-7EE6-4430-AEC2-802239DA35E8}" parentId="{9CEE9786-5AF8-438F-990A-EA2D833AFDD7}">
    <text>Yes date should be 05/14/2026 1 day delivery</text>
  </threadedComment>
  <threadedComment ref="B78" dT="2025-08-19T15:06:43.84" personId="{BA5AB70F-596D-4B5A-86BD-A3888B4AD58C}" id="{4FBBF21B-AB19-40ED-90F8-E2531F4B97A1}">
    <text xml:space="preserve">@Samantha Mulford 3 day, confirm dates </text>
    <mentions>
      <mention mentionpersonId="{D0A50C16-15EB-46A0-A1F1-EB616FBF07C1}" mentionId="{4E55E42E-A6B0-478C-ABAB-341B8082A3BE}" startIndex="0" length="17"/>
    </mentions>
  </threadedComment>
  <threadedComment ref="B78" dT="2025-08-21T15:27:03.27" personId="{8783582F-1207-4868-A58F-89A9A065BDBC}" id="{45E5B5FE-578E-45AD-9611-E2CCF5386438}" parentId="{4FBBF21B-AB19-40ED-90F8-E2531F4B97A1}">
    <text>@Jessica Dyrek delivery dates for 3 D are 05/11 - 05/13</text>
    <mentions>
      <mention mentionpersonId="{5AAB7731-6285-4C1E-AA38-97F5D84270EE}" mentionId="{E0640D71-9ABF-4ED9-903A-79467FF12870}" startIndex="0" length="14"/>
    </mentions>
  </threadedComment>
  <threadedComment ref="B84" dT="2025-08-19T15:07:12.13" personId="{BA5AB70F-596D-4B5A-86BD-A3888B4AD58C}" id="{9E021B03-69B1-404B-86D1-B90835A5535B}">
    <text xml:space="preserve">@Samantha Mulford 4 hour, confirm date and time </text>
    <mentions>
      <mention mentionpersonId="{D0A50C16-15EB-46A0-A1F1-EB616FBF07C1}" mentionId="{30161B7C-2E9E-43B7-8EAC-FA328B8B8775}" startIndex="0" length="17"/>
    </mentions>
  </threadedComment>
  <threadedComment ref="B84" dT="2025-08-21T15:31:16.43" personId="{8783582F-1207-4868-A58F-89A9A065BDBC}" id="{E7629EF0-AC9D-4500-8BE6-B0F73E6739AE}" parentId="{9E021B03-69B1-404B-86D1-B90835A5535B}">
    <text xml:space="preserve">@Jessica Dyrek Date 05/13/26 time 9am - 12pm </text>
    <mentions>
      <mention mentionpersonId="{5AAB7731-6285-4C1E-AA38-97F5D84270EE}" mentionId="{78EC6D49-BCC3-4968-A59B-3E97647335D0}" startIndex="0" length="14"/>
    </mentions>
  </threadedComment>
  <threadedComment ref="B85" dT="2025-10-15T22:09:55.14" personId="{C64FDB53-19F7-490A-91D9-D4A0317621B2}" id="{12D02EBC-1077-43B4-A9D5-C0297870C4A2}">
    <text>Course removed and updated to 3D</text>
  </threadedComment>
  <threadedComment ref="B85" dT="2025-10-28T22:02:49.00" personId="{C64FDB53-19F7-490A-91D9-D4A0317621B2}" id="{D5BB8806-1A7C-4F37-91DB-15AAD512CDAB}" parentId="{12D02EBC-1077-43B4-A9D5-C0297870C4A2}">
    <text>OLD course name 1294D The PMI Guide to Business Analysis for Managing Product and Project Requirements retired course and this is the replacement in a 3D version</text>
  </threadedComment>
  <threadedComment ref="B158" dT="2025-08-19T15:08:46.28" personId="{BA5AB70F-596D-4B5A-86BD-A3888B4AD58C}" id="{E2FF933D-A0F0-498C-BBB8-089CBBB7CF42}">
    <text>@Samantha Mulford 1 day, confirm date</text>
    <mentions>
      <mention mentionpersonId="{D0A50C16-15EB-46A0-A1F1-EB616FBF07C1}" mentionId="{B4E57AA6-EDFF-4180-B5FF-30FA55DA9E0B}" startIndex="0" length="17"/>
    </mentions>
  </threadedComment>
  <threadedComment ref="B158" dT="2025-08-21T16:42:18.99" personId="{C64FDB53-19F7-490A-91D9-D4A0317621B2}" id="{3723CBD4-BC8E-4D02-A2B0-2DF77C62D01F}" parentId="{E2FF933D-A0F0-498C-BBB8-089CBBB7CF42}">
    <text>@Jessica Dyrek 1D course 8/4/2026</text>
    <mentions>
      <mention mentionpersonId="{5AAB7731-6285-4C1E-AA38-97F5D84270EE}" mentionId="{7D76E4C1-5715-4C5C-8D06-80FB685B44BD}" startIndex="0" length="14"/>
    </mentions>
  </threadedComment>
  <threadedComment ref="A163" dT="2025-10-15T22:00:31.90" personId="{C64FDB53-19F7-490A-91D9-D4A0317621B2}" id="{1D8EA12C-365F-4D2A-95C6-A1A5AF5EA6A7}">
    <text>Course removed and changed to 3D</text>
  </threadedComment>
  <threadedComment ref="B202" dT="2025-10-30T22:22:18.95" personId="{C64FDB53-19F7-490A-91D9-D4A0317621B2}" id="{4DBE3D3B-9BB0-4197-A87C-107E30FBAA39}">
    <text>Name change was Develop Your AI Use Cases and Change Management Plan</text>
  </threadedComment>
  <threadedComment ref="B203" dT="2025-08-19T15:19:46.15" personId="{BA5AB70F-596D-4B5A-86BD-A3888B4AD58C}" id="{05F79309-85EA-4081-9D2B-AE765E246396}">
    <text xml:space="preserve">@Samantha Mulford 1 day, confirm date </text>
    <mentions>
      <mention mentionpersonId="{D0A50C16-15EB-46A0-A1F1-EB616FBF07C1}" mentionId="{645E0A04-3C20-474B-B9D0-B2C3AC77981A}" startIndex="0" length="17"/>
    </mentions>
  </threadedComment>
  <threadedComment ref="B203" dT="2025-08-21T14:53:37.14" personId="{8783582F-1207-4868-A58F-89A9A065BDBC}" id="{386D49BB-B50B-417F-9E86-68CF9AD57CD6}" parentId="{05F79309-85EA-4081-9D2B-AE765E246396}">
    <text>@Jessica Dyrek New date 10/28/2026 please for 1D</text>
    <mentions>
      <mention mentionpersonId="{5AAB7731-6285-4C1E-AA38-97F5D84270EE}" mentionId="{7DC965F3-39A0-4054-99C0-4E4A79546EA7}" startIndex="0" length="14"/>
    </mentions>
  </threadedComment>
  <threadedComment ref="C203" dT="2025-10-30T22:24:59.04" personId="{C64FDB53-19F7-490A-91D9-D4A0317621B2}" id="{B8967DDC-05AF-4945-940D-F7618F754797}">
    <text>New course name was Create Your AI Strategy, Project Portfolio and Capability Roadmap for Senior Managers</text>
  </threadedComment>
  <threadedComment ref="B245" dT="2025-10-30T22:22:34.85" personId="{C64FDB53-19F7-490A-91D9-D4A0317621B2}" id="{0244A608-AAE7-4331-A79B-C1761FCCAA73}">
    <text>Name Change was Develop Your AI Use Cases and Change Management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5-07-18T14:09:11.76" personId="{C64FDB53-19F7-490A-91D9-D4A0317621B2}" id="{94ED77D9-1FD2-4C23-8BFE-4F93B42A0DE3}">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A11" dT="2025-10-30T22:22:02.91" personId="{C64FDB53-19F7-490A-91D9-D4A0317621B2}" id="{138B39F2-E825-4EED-AB9D-60F8FB43F55F}">
    <text>Name change was Develop Your AI Use Cases and Change Management Plan</text>
  </threadedComment>
  <threadedComment ref="A28" dT="2025-08-19T15:04:45.69" personId="{BA5AB70F-596D-4B5A-86BD-A3888B4AD58C}" id="{279E6875-C95A-481A-9A70-590B0497ED78}">
    <text xml:space="preserve">@Samantha Mulford this is a 4 day, please confirm course. </text>
    <mentions>
      <mention mentionpersonId="{D0A50C16-15EB-46A0-A1F1-EB616FBF07C1}" mentionId="{F59FD329-D1D9-4BB0-A855-348F9E8EC533}" startIndex="0" length="17"/>
    </mentions>
  </threadedComment>
  <threadedComment ref="A28" dT="2025-08-19T17:34:11.27" personId="{C64FDB53-19F7-490A-91D9-D4A0317621B2}" id="{FD2333EA-1012-4496-9FE2-14D3FC35B9CD}" parentId="{279E6875-C95A-481A-9A70-590B0497ED78}">
    <text>Removing the additional 2 day from the schedule 1464D will remain updated schedule to be 03/16 - 03/19 for 4D delivery</text>
  </threadedComment>
  <threadedComment ref="A31" dT="2025-08-19T15:02:53.57" personId="{BA5AB70F-596D-4B5A-86BD-A3888B4AD58C}" id="{005ABA28-17CF-4568-98F1-6A682611C5E4}">
    <text xml:space="preserve">@Samantha Mulford this is a 1 day. Please confirm dates </text>
    <mentions>
      <mention mentionpersonId="{D0A50C16-15EB-46A0-A1F1-EB616FBF07C1}" mentionId="{FD290F9C-2A95-4205-BB61-E0E7CA2912BA}" startIndex="0" length="17"/>
    </mentions>
  </threadedComment>
  <threadedComment ref="A31" dT="2025-08-21T15:17:15.91" personId="{8783582F-1207-4868-A58F-89A9A065BDBC}" id="{D2265167-41D6-4A6E-B8C5-DA9AF4EB9AD7}" parentId="{005ABA28-17CF-4568-98F1-6A682611C5E4}">
    <text>This should be 1091D Next-Generation Change Management and Transformation: How to Be a Changemaker 3/17/2026</text>
  </threadedComment>
  <threadedComment ref="A32" dT="2025-08-21T15:20:37.44" personId="{8783582F-1207-4868-A58F-89A9A065BDBC}" id="{A8CAEB01-BD61-46BB-9B0A-B9BCED54BF47}">
    <text xml:space="preserve">@Jessica Dyrek checking this is also a one day for Greta 1101D - 3/16/2026 </text>
    <mentions>
      <mention mentionpersonId="{5AAB7731-6285-4C1E-AA38-97F5D84270EE}" mentionId="{7374E384-14C9-4E2B-8952-32D1C647EF30}" startIndex="0" length="14"/>
    </mentions>
  </threadedComment>
  <threadedComment ref="E53" dT="2025-10-29T13:15:30.69" personId="{EF441AF9-D6EE-4E22-8436-4E0B6B20A265}" id="{362A5173-792B-48B9-8EF8-20FBEB01D640}"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0A50C16-15EB-46A0-A1F1-EB616FBF07C1}" mentionId="{A968B27B-4776-4A64-9284-5A235AECA4DB}" startIndex="0" length="17"/>
    </mentions>
  </threadedComment>
  <threadedComment ref="A77" dT="2025-08-19T15:06:16.05" personId="{BA5AB70F-596D-4B5A-86BD-A3888B4AD58C}" id="{03D2C06C-93B7-424D-9B7B-9FAC04E59AD4}">
    <text xml:space="preserve">@Samantha Mulford 1 day, confirm dates </text>
    <mentions>
      <mention mentionpersonId="{D0A50C16-15EB-46A0-A1F1-EB616FBF07C1}" mentionId="{80111340-2049-49B3-85F4-85D8E8CC6367}" startIndex="0" length="17"/>
    </mentions>
  </threadedComment>
  <threadedComment ref="A77" dT="2025-08-21T15:25:17.30" personId="{8783582F-1207-4868-A58F-89A9A065BDBC}" id="{C4C2A0C1-BA55-4AA8-BEE7-0C4BFE0DC39B}" parentId="{03D2C06C-93B7-424D-9B7B-9FAC04E59AD4}">
    <text>Yes date should be 05/14/2026 1 day delivery</text>
  </threadedComment>
  <threadedComment ref="A78" dT="2025-08-19T15:06:43.84" personId="{BA5AB70F-596D-4B5A-86BD-A3888B4AD58C}" id="{A161B4CF-E5FB-4A61-B649-469FF528EB6B}">
    <text xml:space="preserve">@Samantha Mulford 3 day, confirm dates </text>
    <mentions>
      <mention mentionpersonId="{D0A50C16-15EB-46A0-A1F1-EB616FBF07C1}" mentionId="{0196F411-C0EA-4D88-BF0E-FE595DF42718}" startIndex="0" length="17"/>
    </mentions>
  </threadedComment>
  <threadedComment ref="A78" dT="2025-08-21T15:27:03.27" personId="{8783582F-1207-4868-A58F-89A9A065BDBC}" id="{689FF674-DFBE-4910-AF43-5F7512C1CC74}" parentId="{A161B4CF-E5FB-4A61-B649-469FF528EB6B}">
    <text>@Jessica Dyrek delivery dates for 3 D are 05/11 - 05/13</text>
    <mentions>
      <mention mentionpersonId="{5AAB7731-6285-4C1E-AA38-97F5D84270EE}" mentionId="{50C33F0F-39F4-4BDD-A7D9-74D0043F1524}" startIndex="0" length="14"/>
    </mentions>
  </threadedComment>
  <threadedComment ref="A84" dT="2025-08-19T15:07:12.13" personId="{BA5AB70F-596D-4B5A-86BD-A3888B4AD58C}" id="{977060A6-81AA-4862-AC33-92505856D668}">
    <text xml:space="preserve">@Samantha Mulford 4 hour, confirm date and time </text>
    <mentions>
      <mention mentionpersonId="{D0A50C16-15EB-46A0-A1F1-EB616FBF07C1}" mentionId="{B2D192B3-63AA-45F9-9E39-9F665559F5E9}" startIndex="0" length="17"/>
    </mentions>
  </threadedComment>
  <threadedComment ref="A84" dT="2025-08-21T15:31:16.43" personId="{8783582F-1207-4868-A58F-89A9A065BDBC}" id="{F25E53B6-01E3-492B-987C-AFED2B4B7AA3}" parentId="{977060A6-81AA-4862-AC33-92505856D668}">
    <text xml:space="preserve">@Jessica Dyrek Date 05/13/26 time 9am - 12pm </text>
    <mentions>
      <mention mentionpersonId="{5AAB7731-6285-4C1E-AA38-97F5D84270EE}" mentionId="{47252974-C4A9-4299-87EC-DF29391DEF7C}" startIndex="0" length="14"/>
    </mentions>
  </threadedComment>
  <threadedComment ref="A85" dT="2025-10-15T22:09:55.14" personId="{C64FDB53-19F7-490A-91D9-D4A0317621B2}" id="{EAAB6554-8C87-4499-824A-C11A18CFBE60}">
    <text>Course removed and updated to 3D</text>
  </threadedComment>
  <threadedComment ref="A85" dT="2025-10-28T22:02:49.00" personId="{C64FDB53-19F7-490A-91D9-D4A0317621B2}" id="{9255CCC5-D839-418E-A8F1-FD55247BB197}" parentId="{EAAB6554-8C87-4499-824A-C11A18CFBE60}">
    <text>OLD course name 1294D The PMI Guide to Business Analysis for Managing Product and Project Requirements retired course and this is the replacement in a 3D version</text>
  </threadedComment>
  <threadedComment ref="A158" dT="2025-08-19T15:08:46.28" personId="{BA5AB70F-596D-4B5A-86BD-A3888B4AD58C}" id="{33A979F6-3965-48B9-845A-1598D9CEEFB9}">
    <text>@Samantha Mulford 1 day, confirm date</text>
    <mentions>
      <mention mentionpersonId="{D0A50C16-15EB-46A0-A1F1-EB616FBF07C1}" mentionId="{992A0C75-E803-4857-A682-ED81A17C55A0}" startIndex="0" length="17"/>
    </mentions>
  </threadedComment>
  <threadedComment ref="A158" dT="2025-08-21T16:42:18.99" personId="{C64FDB53-19F7-490A-91D9-D4A0317621B2}" id="{DEE95453-284A-467E-994A-34A535A2D3C7}" parentId="{33A979F6-3965-48B9-845A-1598D9CEEFB9}">
    <text>@Jessica Dyrek 1D course 8/4/2026</text>
    <mentions>
      <mention mentionpersonId="{5AAB7731-6285-4C1E-AA38-97F5D84270EE}" mentionId="{19DC45F7-12E5-4A58-A694-2C92178537F6}" startIndex="0" length="14"/>
    </mentions>
  </threadedComment>
  <threadedComment ref="A202" dT="2025-10-30T22:22:18.95" personId="{C64FDB53-19F7-490A-91D9-D4A0317621B2}" id="{45EC42EA-4E6F-4166-9AFF-D2B930B31AA1}">
    <text>Name change was Develop Your AI Use Cases and Change Management Plan</text>
  </threadedComment>
  <threadedComment ref="A203" dT="2025-08-19T15:19:46.15" personId="{BA5AB70F-596D-4B5A-86BD-A3888B4AD58C}" id="{A5D8A70D-3C0D-4124-924B-33AE674636F9}">
    <text xml:space="preserve">@Samantha Mulford 1 day, confirm date </text>
    <mentions>
      <mention mentionpersonId="{D0A50C16-15EB-46A0-A1F1-EB616FBF07C1}" mentionId="{AF85F42A-8EBC-442A-A589-41DBDFE836ED}" startIndex="0" length="17"/>
    </mentions>
  </threadedComment>
  <threadedComment ref="A203" dT="2025-08-21T14:53:37.14" personId="{8783582F-1207-4868-A58F-89A9A065BDBC}" id="{9857495B-1F1F-421E-B04A-70FFA2DF7398}" parentId="{A5D8A70D-3C0D-4124-924B-33AE674636F9}">
    <text>@Jessica Dyrek New date 10/28/2026 please for 1D</text>
    <mentions>
      <mention mentionpersonId="{5AAB7731-6285-4C1E-AA38-97F5D84270EE}" mentionId="{CB965AB8-4DD5-4E12-9F2F-3E7A1EAD34B0}" startIndex="0" length="14"/>
    </mentions>
  </threadedComment>
  <threadedComment ref="B203" dT="2025-10-30T22:24:59.04" personId="{C64FDB53-19F7-490A-91D9-D4A0317621B2}" id="{BA4FC60A-B701-4389-BF81-A2AADC0C0364}">
    <text>New course name was Create Your AI Strategy, Project Portfolio and Capability Roadmap for Senior Managers</text>
  </threadedComment>
  <threadedComment ref="A245" dT="2025-10-30T22:22:34.85" personId="{C64FDB53-19F7-490A-91D9-D4A0317621B2}" id="{BD7714AB-4E31-4ABA-9DC2-A6E8DB51B5BA}">
    <text>Name Change was Develop Your AI Use Cases and Change Management Plan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97A5-FB4D-4FE2-A818-57C80C0CA1F1}">
  <sheetPr codeName="Sheet1"/>
  <dimension ref="A1:S265"/>
  <sheetViews>
    <sheetView topLeftCell="D1" workbookViewId="0">
      <selection activeCell="M1" sqref="M1:M1048576"/>
    </sheetView>
  </sheetViews>
  <sheetFormatPr defaultRowHeight="15" x14ac:dyDescent="0.25"/>
  <cols>
    <col min="1" max="1" width="29.5703125" bestFit="1" customWidth="1"/>
    <col min="2" max="2" width="13.7109375" bestFit="1" customWidth="1"/>
    <col min="3" max="3" width="121.5703125" bestFit="1" customWidth="1"/>
    <col min="4" max="4" width="33.85546875" bestFit="1" customWidth="1"/>
    <col min="5" max="5" width="11.85546875" bestFit="1" customWidth="1"/>
    <col min="6" max="6" width="13.42578125" bestFit="1" customWidth="1"/>
    <col min="7" max="7" width="16.42578125" bestFit="1" customWidth="1"/>
    <col min="8" max="8" width="15" bestFit="1" customWidth="1"/>
    <col min="9" max="9" width="12.5703125" bestFit="1" customWidth="1"/>
    <col min="10" max="12" width="13" bestFit="1" customWidth="1"/>
    <col min="13" max="13" width="19.42578125" bestFit="1" customWidth="1"/>
    <col min="14" max="14" width="128.140625" bestFit="1" customWidth="1"/>
    <col min="15" max="15" width="12.85546875" bestFit="1" customWidth="1"/>
    <col min="16" max="16" width="10.7109375" bestFit="1" customWidth="1"/>
    <col min="17" max="18" width="11.5703125" bestFit="1" customWidth="1"/>
    <col min="19" max="19" width="13.5703125" bestFit="1" customWidth="1"/>
  </cols>
  <sheetData>
    <row r="1" spans="1:19" ht="15.75" x14ac:dyDescent="0.25">
      <c r="A1" s="91" t="s">
        <v>0</v>
      </c>
      <c r="B1" s="91" t="s">
        <v>1</v>
      </c>
      <c r="C1" s="91" t="s">
        <v>2</v>
      </c>
      <c r="D1" s="91" t="s">
        <v>3</v>
      </c>
      <c r="E1" s="91" t="s">
        <v>4</v>
      </c>
      <c r="F1" s="91" t="s">
        <v>5</v>
      </c>
      <c r="G1" s="91" t="s">
        <v>6</v>
      </c>
      <c r="H1" s="13" t="s">
        <v>7</v>
      </c>
      <c r="I1" s="13" t="s">
        <v>8</v>
      </c>
      <c r="J1" s="3" t="s">
        <v>9</v>
      </c>
      <c r="K1" s="164" t="s">
        <v>10</v>
      </c>
      <c r="L1" s="164" t="s">
        <v>11</v>
      </c>
      <c r="M1" s="91" t="s">
        <v>12</v>
      </c>
      <c r="N1" s="91" t="s">
        <v>13</v>
      </c>
      <c r="O1" s="91" t="s">
        <v>14</v>
      </c>
      <c r="P1" s="13" t="s">
        <v>15</v>
      </c>
      <c r="Q1" s="91" t="s">
        <v>16</v>
      </c>
      <c r="R1" s="91" t="s">
        <v>17</v>
      </c>
      <c r="S1" s="91" t="s">
        <v>18</v>
      </c>
    </row>
    <row r="2" spans="1:19" ht="15.75" x14ac:dyDescent="0.25">
      <c r="A2" s="165" t="s">
        <v>19</v>
      </c>
      <c r="B2" s="91"/>
      <c r="C2" s="165" t="s">
        <v>20</v>
      </c>
      <c r="D2" s="166" t="s">
        <v>3</v>
      </c>
      <c r="E2" s="21" t="s">
        <v>4</v>
      </c>
      <c r="F2" s="96">
        <v>23</v>
      </c>
      <c r="G2" s="96">
        <v>24</v>
      </c>
      <c r="H2" s="96">
        <v>25</v>
      </c>
      <c r="I2" s="96">
        <v>26</v>
      </c>
      <c r="J2" s="95" t="s">
        <v>21</v>
      </c>
      <c r="K2" s="1"/>
      <c r="L2" s="1"/>
      <c r="M2" s="96" t="s">
        <v>12</v>
      </c>
      <c r="N2" s="167"/>
      <c r="O2" s="91"/>
      <c r="P2" s="13"/>
      <c r="Q2" s="91"/>
      <c r="R2" s="91"/>
      <c r="S2" s="91"/>
    </row>
    <row r="3" spans="1:19" ht="15.75" x14ac:dyDescent="0.25">
      <c r="A3" s="168" t="s">
        <v>22</v>
      </c>
      <c r="B3" s="2" t="s">
        <v>23</v>
      </c>
      <c r="C3" s="169" t="s">
        <v>24</v>
      </c>
      <c r="D3" s="169" t="s">
        <v>25</v>
      </c>
      <c r="E3" s="97">
        <v>2</v>
      </c>
      <c r="F3" s="98"/>
      <c r="G3" s="98"/>
      <c r="H3" s="13" t="s">
        <v>26</v>
      </c>
      <c r="I3" s="14" t="s">
        <v>26</v>
      </c>
      <c r="J3" s="3" t="s">
        <v>27</v>
      </c>
      <c r="K3" s="8" t="s">
        <v>28</v>
      </c>
      <c r="L3" s="42" t="s">
        <v>29</v>
      </c>
      <c r="M3" s="169" t="s">
        <v>30</v>
      </c>
      <c r="N3" s="170" t="s">
        <v>31</v>
      </c>
      <c r="O3" s="171">
        <v>1735</v>
      </c>
      <c r="P3" s="13">
        <v>2</v>
      </c>
      <c r="Q3" s="99">
        <f>(O3*10)</f>
        <v>17350</v>
      </c>
      <c r="R3" s="99">
        <f>(O3*20)</f>
        <v>34700</v>
      </c>
      <c r="S3" s="99">
        <f>(O3*30)</f>
        <v>52050</v>
      </c>
    </row>
    <row r="4" spans="1:19" ht="15.75" x14ac:dyDescent="0.25">
      <c r="A4" s="168" t="s">
        <v>22</v>
      </c>
      <c r="B4" s="2" t="s">
        <v>32</v>
      </c>
      <c r="C4" s="11" t="s">
        <v>33</v>
      </c>
      <c r="D4" s="164" t="s">
        <v>34</v>
      </c>
      <c r="E4" s="20">
        <v>2</v>
      </c>
      <c r="F4" s="13"/>
      <c r="G4" s="13"/>
      <c r="H4" s="13" t="s">
        <v>26</v>
      </c>
      <c r="I4" s="14" t="s">
        <v>26</v>
      </c>
      <c r="J4" s="3" t="s">
        <v>27</v>
      </c>
      <c r="K4" s="8" t="s">
        <v>28</v>
      </c>
      <c r="L4" s="42" t="s">
        <v>29</v>
      </c>
      <c r="M4" s="168" t="s">
        <v>35</v>
      </c>
      <c r="N4" s="170"/>
      <c r="O4" s="171">
        <v>1735</v>
      </c>
      <c r="P4" s="13">
        <v>2</v>
      </c>
      <c r="Q4" s="99">
        <f>(O4*10)</f>
        <v>17350</v>
      </c>
      <c r="R4" s="99">
        <f>(O4*20)</f>
        <v>34700</v>
      </c>
      <c r="S4" s="99">
        <f>(O4*30)</f>
        <v>52050</v>
      </c>
    </row>
    <row r="5" spans="1:19" ht="15.75" x14ac:dyDescent="0.25">
      <c r="A5" s="168" t="s">
        <v>22</v>
      </c>
      <c r="B5" s="4" t="s">
        <v>36</v>
      </c>
      <c r="C5" s="169" t="s">
        <v>37</v>
      </c>
      <c r="D5" s="169" t="s">
        <v>38</v>
      </c>
      <c r="E5" s="97">
        <v>1</v>
      </c>
      <c r="F5" s="13" t="s">
        <v>39</v>
      </c>
      <c r="G5" s="98"/>
      <c r="H5" s="98"/>
      <c r="I5" s="14"/>
      <c r="J5" s="3" t="s">
        <v>27</v>
      </c>
      <c r="K5" s="3" t="s">
        <v>40</v>
      </c>
      <c r="L5" s="3" t="s">
        <v>40</v>
      </c>
      <c r="M5" s="172" t="s">
        <v>41</v>
      </c>
      <c r="N5" s="170" t="s">
        <v>42</v>
      </c>
      <c r="O5" s="171">
        <v>881</v>
      </c>
      <c r="P5" s="13">
        <v>1</v>
      </c>
      <c r="Q5" s="99">
        <f>(O5*10)</f>
        <v>8810</v>
      </c>
      <c r="R5" s="99">
        <f>(O5*20)</f>
        <v>17620</v>
      </c>
      <c r="S5" s="99">
        <f>(O5*30)</f>
        <v>26430</v>
      </c>
    </row>
    <row r="6" spans="1:19" ht="15.75" x14ac:dyDescent="0.25">
      <c r="A6" s="173" t="s">
        <v>22</v>
      </c>
      <c r="B6" s="5" t="s">
        <v>43</v>
      </c>
      <c r="C6" s="174" t="s">
        <v>44</v>
      </c>
      <c r="D6" s="169" t="s">
        <v>45</v>
      </c>
      <c r="E6" s="97">
        <v>2</v>
      </c>
      <c r="F6" s="13" t="s">
        <v>26</v>
      </c>
      <c r="G6" s="13" t="s">
        <v>26</v>
      </c>
      <c r="H6" s="13"/>
      <c r="I6" s="14"/>
      <c r="J6" s="3" t="s">
        <v>27</v>
      </c>
      <c r="K6" s="3" t="s">
        <v>40</v>
      </c>
      <c r="L6" s="3" t="s">
        <v>46</v>
      </c>
      <c r="M6" s="175" t="s">
        <v>47</v>
      </c>
      <c r="N6" s="170"/>
      <c r="O6" s="171">
        <v>1735</v>
      </c>
      <c r="P6" s="97">
        <v>2</v>
      </c>
      <c r="Q6" s="99">
        <f t="shared" ref="Q6:Q18" si="0">(O6*10)</f>
        <v>17350</v>
      </c>
      <c r="R6" s="99">
        <f t="shared" ref="R6:R18" si="1">(O6*20)</f>
        <v>34700</v>
      </c>
      <c r="S6" s="99">
        <f t="shared" ref="S6:S18" si="2">(O6*30)</f>
        <v>52050</v>
      </c>
    </row>
    <row r="7" spans="1:19" ht="15.75" x14ac:dyDescent="0.25">
      <c r="A7" s="168" t="s">
        <v>22</v>
      </c>
      <c r="B7" s="6" t="s">
        <v>48</v>
      </c>
      <c r="C7" s="164" t="s">
        <v>49</v>
      </c>
      <c r="D7" s="164" t="s">
        <v>50</v>
      </c>
      <c r="E7" s="20">
        <v>2</v>
      </c>
      <c r="F7" s="13" t="s">
        <v>26</v>
      </c>
      <c r="G7" s="13" t="s">
        <v>26</v>
      </c>
      <c r="H7" s="13"/>
      <c r="I7" s="13"/>
      <c r="J7" s="3" t="s">
        <v>27</v>
      </c>
      <c r="K7" s="3" t="s">
        <v>40</v>
      </c>
      <c r="L7" s="3" t="s">
        <v>46</v>
      </c>
      <c r="M7" s="176" t="s">
        <v>51</v>
      </c>
      <c r="N7" s="170"/>
      <c r="O7" s="171">
        <v>1735</v>
      </c>
      <c r="P7" s="20">
        <v>2</v>
      </c>
      <c r="Q7" s="99">
        <f t="shared" si="0"/>
        <v>17350</v>
      </c>
      <c r="R7" s="99">
        <f t="shared" si="1"/>
        <v>34700</v>
      </c>
      <c r="S7" s="99">
        <f t="shared" si="2"/>
        <v>52050</v>
      </c>
    </row>
    <row r="8" spans="1:19" ht="15.75" x14ac:dyDescent="0.25">
      <c r="A8" s="172" t="s">
        <v>22</v>
      </c>
      <c r="B8" s="7" t="s">
        <v>52</v>
      </c>
      <c r="C8" s="177" t="s">
        <v>53</v>
      </c>
      <c r="D8" s="177" t="s">
        <v>50</v>
      </c>
      <c r="E8" s="100">
        <v>1</v>
      </c>
      <c r="F8" s="39"/>
      <c r="G8" s="39"/>
      <c r="H8" s="39" t="s">
        <v>26</v>
      </c>
      <c r="I8" s="101"/>
      <c r="J8" s="8" t="s">
        <v>27</v>
      </c>
      <c r="K8" s="8" t="s">
        <v>28</v>
      </c>
      <c r="L8" s="42" t="s">
        <v>28</v>
      </c>
      <c r="M8" s="177" t="s">
        <v>54</v>
      </c>
      <c r="N8" s="178"/>
      <c r="O8" s="179">
        <v>881</v>
      </c>
      <c r="P8" s="100">
        <v>1</v>
      </c>
      <c r="Q8" s="102">
        <f t="shared" si="0"/>
        <v>8810</v>
      </c>
      <c r="R8" s="102">
        <f t="shared" si="1"/>
        <v>17620</v>
      </c>
      <c r="S8" s="102">
        <f t="shared" si="2"/>
        <v>26430</v>
      </c>
    </row>
    <row r="9" spans="1:19" ht="15.75" x14ac:dyDescent="0.25">
      <c r="A9" s="168" t="s">
        <v>22</v>
      </c>
      <c r="B9" s="9" t="s">
        <v>55</v>
      </c>
      <c r="C9" s="164" t="s">
        <v>56</v>
      </c>
      <c r="D9" s="164" t="s">
        <v>57</v>
      </c>
      <c r="E9" s="20">
        <v>2</v>
      </c>
      <c r="F9" s="13" t="s">
        <v>26</v>
      </c>
      <c r="G9" s="13" t="s">
        <v>26</v>
      </c>
      <c r="H9" s="14"/>
      <c r="I9" s="14"/>
      <c r="J9" s="3" t="s">
        <v>27</v>
      </c>
      <c r="K9" s="3" t="s">
        <v>40</v>
      </c>
      <c r="L9" s="3" t="s">
        <v>46</v>
      </c>
      <c r="M9" s="164" t="s">
        <v>58</v>
      </c>
      <c r="N9" s="180"/>
      <c r="O9" s="181">
        <v>1735</v>
      </c>
      <c r="P9" s="20">
        <v>2</v>
      </c>
      <c r="Q9" s="99">
        <f t="shared" si="0"/>
        <v>17350</v>
      </c>
      <c r="R9" s="99">
        <f t="shared" si="1"/>
        <v>34700</v>
      </c>
      <c r="S9" s="99">
        <f t="shared" si="2"/>
        <v>52050</v>
      </c>
    </row>
    <row r="10" spans="1:19" ht="15.75" x14ac:dyDescent="0.25">
      <c r="A10" s="182" t="s">
        <v>22</v>
      </c>
      <c r="B10" s="6" t="s">
        <v>55</v>
      </c>
      <c r="C10" s="176" t="s">
        <v>59</v>
      </c>
      <c r="D10" s="176" t="s">
        <v>57</v>
      </c>
      <c r="E10" s="103">
        <v>2</v>
      </c>
      <c r="F10" s="50"/>
      <c r="G10" s="50"/>
      <c r="H10" s="50" t="s">
        <v>26</v>
      </c>
      <c r="I10" s="104" t="s">
        <v>26</v>
      </c>
      <c r="J10" s="1" t="s">
        <v>27</v>
      </c>
      <c r="K10" s="105" t="s">
        <v>28</v>
      </c>
      <c r="L10" s="106" t="s">
        <v>29</v>
      </c>
      <c r="M10" s="176" t="s">
        <v>60</v>
      </c>
      <c r="N10" s="183"/>
      <c r="O10" s="184">
        <v>1735</v>
      </c>
      <c r="P10" s="103">
        <v>2</v>
      </c>
      <c r="Q10" s="107">
        <f t="shared" si="0"/>
        <v>17350</v>
      </c>
      <c r="R10" s="107">
        <f t="shared" si="1"/>
        <v>34700</v>
      </c>
      <c r="S10" s="107">
        <f t="shared" si="2"/>
        <v>52050</v>
      </c>
    </row>
    <row r="11" spans="1:19" ht="15.75" x14ac:dyDescent="0.25">
      <c r="A11" s="168" t="s">
        <v>22</v>
      </c>
      <c r="B11" s="2" t="s">
        <v>61</v>
      </c>
      <c r="C11" s="164" t="s">
        <v>62</v>
      </c>
      <c r="D11" s="164" t="s">
        <v>63</v>
      </c>
      <c r="E11" s="20">
        <v>2</v>
      </c>
      <c r="F11" s="13" t="s">
        <v>26</v>
      </c>
      <c r="G11" s="13" t="s">
        <v>26</v>
      </c>
      <c r="H11" s="13"/>
      <c r="I11" s="14"/>
      <c r="J11" s="3" t="s">
        <v>27</v>
      </c>
      <c r="K11" s="3" t="s">
        <v>40</v>
      </c>
      <c r="L11" s="3" t="s">
        <v>46</v>
      </c>
      <c r="M11" s="164" t="s">
        <v>41</v>
      </c>
      <c r="N11" s="185"/>
      <c r="O11" s="171">
        <v>1735</v>
      </c>
      <c r="P11" s="20">
        <v>2</v>
      </c>
      <c r="Q11" s="99">
        <f t="shared" si="0"/>
        <v>17350</v>
      </c>
      <c r="R11" s="99">
        <f t="shared" si="1"/>
        <v>34700</v>
      </c>
      <c r="S11" s="99">
        <f t="shared" si="2"/>
        <v>52050</v>
      </c>
    </row>
    <row r="12" spans="1:19" ht="15.75" x14ac:dyDescent="0.25">
      <c r="A12" s="168" t="s">
        <v>22</v>
      </c>
      <c r="B12" s="2" t="s">
        <v>64</v>
      </c>
      <c r="C12" s="164" t="s">
        <v>65</v>
      </c>
      <c r="D12" s="164" t="s">
        <v>66</v>
      </c>
      <c r="E12" s="20">
        <v>2</v>
      </c>
      <c r="F12" s="13" t="s">
        <v>26</v>
      </c>
      <c r="G12" s="13" t="s">
        <v>26</v>
      </c>
      <c r="H12" s="13"/>
      <c r="I12" s="14"/>
      <c r="J12" s="3" t="s">
        <v>27</v>
      </c>
      <c r="K12" s="3" t="s">
        <v>40</v>
      </c>
      <c r="L12" s="3" t="s">
        <v>46</v>
      </c>
      <c r="M12" s="164" t="s">
        <v>60</v>
      </c>
      <c r="N12" s="185"/>
      <c r="O12" s="171">
        <v>1735</v>
      </c>
      <c r="P12" s="20">
        <v>2</v>
      </c>
      <c r="Q12" s="99">
        <f t="shared" si="0"/>
        <v>17350</v>
      </c>
      <c r="R12" s="99">
        <f t="shared" si="1"/>
        <v>34700</v>
      </c>
      <c r="S12" s="99">
        <f t="shared" si="2"/>
        <v>52050</v>
      </c>
    </row>
    <row r="13" spans="1:19" ht="15.75" x14ac:dyDescent="0.25">
      <c r="A13" s="168" t="s">
        <v>22</v>
      </c>
      <c r="B13" s="10" t="s">
        <v>67</v>
      </c>
      <c r="C13" s="186" t="s">
        <v>68</v>
      </c>
      <c r="D13" s="175" t="s">
        <v>69</v>
      </c>
      <c r="E13" s="187">
        <v>2</v>
      </c>
      <c r="F13" s="13"/>
      <c r="G13" s="13"/>
      <c r="H13" s="13" t="s">
        <v>26</v>
      </c>
      <c r="I13" s="14" t="s">
        <v>26</v>
      </c>
      <c r="J13" s="3" t="s">
        <v>27</v>
      </c>
      <c r="K13" s="8" t="s">
        <v>28</v>
      </c>
      <c r="L13" s="42" t="s">
        <v>29</v>
      </c>
      <c r="M13" s="188" t="s">
        <v>70</v>
      </c>
      <c r="N13" s="189"/>
      <c r="O13" s="171">
        <v>1735</v>
      </c>
      <c r="P13" s="187">
        <v>2</v>
      </c>
      <c r="Q13" s="99">
        <f t="shared" si="0"/>
        <v>17350</v>
      </c>
      <c r="R13" s="99">
        <f t="shared" si="1"/>
        <v>34700</v>
      </c>
      <c r="S13" s="99">
        <f t="shared" si="2"/>
        <v>52050</v>
      </c>
    </row>
    <row r="14" spans="1:19" ht="15.75" x14ac:dyDescent="0.25">
      <c r="A14" s="168" t="s">
        <v>22</v>
      </c>
      <c r="B14" s="11" t="s">
        <v>71</v>
      </c>
      <c r="C14" s="176" t="s">
        <v>72</v>
      </c>
      <c r="D14" s="176" t="s">
        <v>73</v>
      </c>
      <c r="E14" s="20">
        <v>2</v>
      </c>
      <c r="F14" s="13" t="s">
        <v>26</v>
      </c>
      <c r="G14" s="13" t="s">
        <v>26</v>
      </c>
      <c r="H14" s="13"/>
      <c r="I14" s="13"/>
      <c r="J14" s="3" t="s">
        <v>27</v>
      </c>
      <c r="K14" s="3" t="s">
        <v>40</v>
      </c>
      <c r="L14" s="3" t="s">
        <v>46</v>
      </c>
      <c r="M14" s="164" t="s">
        <v>41</v>
      </c>
      <c r="N14" s="175"/>
      <c r="O14" s="171">
        <v>1735</v>
      </c>
      <c r="P14" s="20">
        <v>2</v>
      </c>
      <c r="Q14" s="99">
        <f t="shared" si="0"/>
        <v>17350</v>
      </c>
      <c r="R14" s="99">
        <f t="shared" si="1"/>
        <v>34700</v>
      </c>
      <c r="S14" s="99">
        <f t="shared" si="2"/>
        <v>52050</v>
      </c>
    </row>
    <row r="15" spans="1:19" ht="15.75" x14ac:dyDescent="0.25">
      <c r="A15" s="168" t="s">
        <v>22</v>
      </c>
      <c r="B15" s="2" t="s">
        <v>74</v>
      </c>
      <c r="C15" s="164" t="s">
        <v>75</v>
      </c>
      <c r="D15" s="164" t="s">
        <v>76</v>
      </c>
      <c r="E15" s="20">
        <v>3</v>
      </c>
      <c r="F15" s="14" t="s">
        <v>26</v>
      </c>
      <c r="G15" s="14" t="s">
        <v>26</v>
      </c>
      <c r="H15" s="14" t="s">
        <v>26</v>
      </c>
      <c r="I15" s="14"/>
      <c r="J15" s="3" t="s">
        <v>27</v>
      </c>
      <c r="K15" s="3" t="s">
        <v>40</v>
      </c>
      <c r="L15" s="23" t="s">
        <v>28</v>
      </c>
      <c r="M15" s="164" t="s">
        <v>60</v>
      </c>
      <c r="N15" s="190"/>
      <c r="O15" s="171">
        <v>2427</v>
      </c>
      <c r="P15" s="20">
        <v>3</v>
      </c>
      <c r="Q15" s="99">
        <f t="shared" si="0"/>
        <v>24270</v>
      </c>
      <c r="R15" s="99">
        <f t="shared" si="1"/>
        <v>48540</v>
      </c>
      <c r="S15" s="99">
        <f t="shared" si="2"/>
        <v>72810</v>
      </c>
    </row>
    <row r="16" spans="1:19" ht="15.75" x14ac:dyDescent="0.25">
      <c r="A16" s="168" t="s">
        <v>22</v>
      </c>
      <c r="B16" s="2" t="s">
        <v>77</v>
      </c>
      <c r="C16" s="164" t="s">
        <v>78</v>
      </c>
      <c r="D16" s="164" t="s">
        <v>79</v>
      </c>
      <c r="E16" s="20">
        <v>2</v>
      </c>
      <c r="F16" s="13"/>
      <c r="G16" s="13"/>
      <c r="H16" s="13" t="s">
        <v>26</v>
      </c>
      <c r="I16" s="14" t="s">
        <v>26</v>
      </c>
      <c r="J16" s="3" t="s">
        <v>27</v>
      </c>
      <c r="K16" s="8" t="s">
        <v>28</v>
      </c>
      <c r="L16" s="42" t="s">
        <v>29</v>
      </c>
      <c r="M16" s="164" t="s">
        <v>60</v>
      </c>
      <c r="N16" s="175"/>
      <c r="O16" s="171">
        <v>1735</v>
      </c>
      <c r="P16" s="20">
        <v>2</v>
      </c>
      <c r="Q16" s="99">
        <f t="shared" si="0"/>
        <v>17350</v>
      </c>
      <c r="R16" s="99">
        <f t="shared" si="1"/>
        <v>34700</v>
      </c>
      <c r="S16" s="99">
        <f t="shared" si="2"/>
        <v>52050</v>
      </c>
    </row>
    <row r="17" spans="1:19" ht="15.75" x14ac:dyDescent="0.25">
      <c r="A17" s="168" t="s">
        <v>22</v>
      </c>
      <c r="B17" s="4" t="s">
        <v>80</v>
      </c>
      <c r="C17" s="177" t="s">
        <v>81</v>
      </c>
      <c r="D17" s="164" t="s">
        <v>82</v>
      </c>
      <c r="E17" s="12" t="s">
        <v>83</v>
      </c>
      <c r="F17" s="13"/>
      <c r="G17" s="13"/>
      <c r="H17" s="13"/>
      <c r="I17" s="14" t="s">
        <v>84</v>
      </c>
      <c r="J17" s="3" t="s">
        <v>27</v>
      </c>
      <c r="K17" s="42" t="s">
        <v>29</v>
      </c>
      <c r="L17" s="42" t="s">
        <v>29</v>
      </c>
      <c r="M17" s="164" t="s">
        <v>47</v>
      </c>
      <c r="N17" s="175"/>
      <c r="O17" s="171">
        <v>518</v>
      </c>
      <c r="P17" s="12" t="s">
        <v>85</v>
      </c>
      <c r="Q17" s="99">
        <f t="shared" si="0"/>
        <v>5180</v>
      </c>
      <c r="R17" s="99">
        <f t="shared" si="1"/>
        <v>10360</v>
      </c>
      <c r="S17" s="99">
        <f t="shared" si="2"/>
        <v>15540</v>
      </c>
    </row>
    <row r="18" spans="1:19" ht="15.75" x14ac:dyDescent="0.25">
      <c r="A18" s="173" t="s">
        <v>22</v>
      </c>
      <c r="B18" s="15" t="s">
        <v>86</v>
      </c>
      <c r="C18" s="16" t="s">
        <v>87</v>
      </c>
      <c r="D18" s="17" t="s">
        <v>88</v>
      </c>
      <c r="E18" s="13">
        <v>3</v>
      </c>
      <c r="F18" s="13" t="s">
        <v>26</v>
      </c>
      <c r="G18" s="13" t="s">
        <v>26</v>
      </c>
      <c r="H18" s="13" t="s">
        <v>26</v>
      </c>
      <c r="I18" s="14"/>
      <c r="J18" s="18" t="s">
        <v>27</v>
      </c>
      <c r="K18" s="3" t="s">
        <v>40</v>
      </c>
      <c r="L18" s="23" t="s">
        <v>28</v>
      </c>
      <c r="M18" s="24" t="s">
        <v>89</v>
      </c>
      <c r="N18" s="175" t="s">
        <v>90</v>
      </c>
      <c r="O18" s="171">
        <v>2427</v>
      </c>
      <c r="P18" s="20">
        <v>3</v>
      </c>
      <c r="Q18" s="99">
        <f t="shared" si="0"/>
        <v>24270</v>
      </c>
      <c r="R18" s="99">
        <f t="shared" si="1"/>
        <v>48540</v>
      </c>
      <c r="S18" s="99">
        <f t="shared" si="2"/>
        <v>72810</v>
      </c>
    </row>
    <row r="19" spans="1:19" ht="15.75" x14ac:dyDescent="0.25">
      <c r="A19" s="168" t="s">
        <v>91</v>
      </c>
      <c r="B19" s="108"/>
      <c r="C19" s="191"/>
      <c r="D19" s="169"/>
      <c r="E19" s="109"/>
      <c r="F19" s="36"/>
      <c r="G19" s="36"/>
      <c r="H19" s="36"/>
      <c r="I19" s="110"/>
      <c r="J19" s="19"/>
      <c r="K19" s="3"/>
      <c r="L19" s="23"/>
      <c r="M19" s="111"/>
      <c r="N19" s="175"/>
      <c r="O19" s="171" t="s">
        <v>91</v>
      </c>
      <c r="P19" s="20"/>
      <c r="Q19" s="99">
        <f>SUM(Q3:Q18)</f>
        <v>262190</v>
      </c>
      <c r="R19" s="99">
        <f>SUM(R3:R18)</f>
        <v>524380</v>
      </c>
      <c r="S19" s="99">
        <f>SUM(S3:S18)</f>
        <v>786570</v>
      </c>
    </row>
    <row r="20" spans="1:19" ht="15.75" x14ac:dyDescent="0.25">
      <c r="A20" s="164" t="s">
        <v>92</v>
      </c>
      <c r="B20" s="13"/>
      <c r="C20" s="164"/>
      <c r="D20" s="169"/>
      <c r="E20" s="20"/>
      <c r="F20" s="13">
        <v>8</v>
      </c>
      <c r="G20" s="13">
        <v>10</v>
      </c>
      <c r="H20" s="13">
        <v>10</v>
      </c>
      <c r="I20" s="112">
        <v>5.5</v>
      </c>
      <c r="J20" s="3" t="s">
        <v>27</v>
      </c>
      <c r="K20" s="3"/>
      <c r="L20" s="23"/>
      <c r="M20" s="164"/>
      <c r="N20" s="175"/>
      <c r="O20" s="192"/>
      <c r="P20" s="13"/>
      <c r="Q20" s="113"/>
      <c r="R20" s="113"/>
      <c r="S20" s="113"/>
    </row>
    <row r="21" spans="1:19" ht="15.75" x14ac:dyDescent="0.25">
      <c r="A21" s="166" t="s">
        <v>93</v>
      </c>
      <c r="B21" s="166" t="s">
        <v>1</v>
      </c>
      <c r="C21" s="166" t="s">
        <v>94</v>
      </c>
      <c r="D21" s="166" t="s">
        <v>3</v>
      </c>
      <c r="E21" s="21" t="s">
        <v>4</v>
      </c>
      <c r="F21" s="21">
        <v>16</v>
      </c>
      <c r="G21" s="21">
        <v>17</v>
      </c>
      <c r="H21" s="114" t="s">
        <v>95</v>
      </c>
      <c r="I21" s="115">
        <v>19</v>
      </c>
      <c r="J21" s="116" t="s">
        <v>96</v>
      </c>
      <c r="K21" s="193"/>
      <c r="L21" s="193"/>
      <c r="M21" s="166" t="s">
        <v>12</v>
      </c>
      <c r="N21" s="175"/>
      <c r="O21" s="194"/>
      <c r="P21" s="21"/>
      <c r="Q21" s="166"/>
      <c r="R21" s="166"/>
      <c r="S21" s="166"/>
    </row>
    <row r="22" spans="1:19" ht="15.75" x14ac:dyDescent="0.25">
      <c r="A22" s="164" t="s">
        <v>97</v>
      </c>
      <c r="B22" s="169" t="s">
        <v>98</v>
      </c>
      <c r="C22" s="164" t="s">
        <v>99</v>
      </c>
      <c r="D22" s="164" t="s">
        <v>100</v>
      </c>
      <c r="E22" s="13">
        <v>1</v>
      </c>
      <c r="F22" s="13" t="s">
        <v>26</v>
      </c>
      <c r="G22" s="13"/>
      <c r="H22" s="18"/>
      <c r="I22" s="22"/>
      <c r="J22" s="23" t="s">
        <v>101</v>
      </c>
      <c r="K22" s="117">
        <v>46097</v>
      </c>
      <c r="L22" s="118">
        <v>46097</v>
      </c>
      <c r="M22" s="164" t="s">
        <v>102</v>
      </c>
      <c r="N22" s="175"/>
      <c r="O22" s="171">
        <v>1735</v>
      </c>
      <c r="P22" s="13">
        <v>2</v>
      </c>
      <c r="Q22" s="99">
        <f t="shared" ref="Q22:Q35" si="3">(O22*10)</f>
        <v>17350</v>
      </c>
      <c r="R22" s="99">
        <f t="shared" ref="R22:R35" si="4">(O22*20)</f>
        <v>34700</v>
      </c>
      <c r="S22" s="99">
        <f t="shared" ref="S22:S35" si="5">(O22*30)</f>
        <v>52050</v>
      </c>
    </row>
    <row r="23" spans="1:19" ht="15.75" x14ac:dyDescent="0.25">
      <c r="A23" s="164" t="s">
        <v>97</v>
      </c>
      <c r="B23" s="24" t="s">
        <v>103</v>
      </c>
      <c r="C23" s="164" t="s">
        <v>104</v>
      </c>
      <c r="D23" s="164" t="s">
        <v>100</v>
      </c>
      <c r="E23" s="13">
        <v>3</v>
      </c>
      <c r="F23" s="13"/>
      <c r="G23" s="13" t="s">
        <v>26</v>
      </c>
      <c r="H23" s="18" t="s">
        <v>26</v>
      </c>
      <c r="I23" s="22" t="s">
        <v>26</v>
      </c>
      <c r="J23" s="23" t="s">
        <v>101</v>
      </c>
      <c r="K23" s="117">
        <v>46098</v>
      </c>
      <c r="L23" s="118">
        <v>46100</v>
      </c>
      <c r="M23" s="164" t="s">
        <v>105</v>
      </c>
      <c r="N23" s="175"/>
      <c r="O23" s="171">
        <v>1735</v>
      </c>
      <c r="P23" s="13">
        <v>2</v>
      </c>
      <c r="Q23" s="99">
        <f t="shared" si="3"/>
        <v>17350</v>
      </c>
      <c r="R23" s="99">
        <f t="shared" si="4"/>
        <v>34700</v>
      </c>
      <c r="S23" s="99">
        <f t="shared" si="5"/>
        <v>52050</v>
      </c>
    </row>
    <row r="24" spans="1:19" ht="15.75" x14ac:dyDescent="0.25">
      <c r="A24" s="164" t="s">
        <v>97</v>
      </c>
      <c r="B24" s="24" t="s">
        <v>106</v>
      </c>
      <c r="C24" s="164" t="s">
        <v>107</v>
      </c>
      <c r="D24" s="164" t="s">
        <v>108</v>
      </c>
      <c r="E24" s="13">
        <v>2</v>
      </c>
      <c r="F24" s="13"/>
      <c r="G24" s="13"/>
      <c r="H24" s="18" t="s">
        <v>26</v>
      </c>
      <c r="I24" s="22" t="s">
        <v>26</v>
      </c>
      <c r="J24" s="23" t="s">
        <v>109</v>
      </c>
      <c r="K24" s="117">
        <v>46099</v>
      </c>
      <c r="L24" s="118">
        <v>46100</v>
      </c>
      <c r="M24" s="164" t="s">
        <v>58</v>
      </c>
      <c r="N24" s="195" t="s">
        <v>110</v>
      </c>
      <c r="O24" s="171">
        <v>1735</v>
      </c>
      <c r="P24" s="13">
        <v>2</v>
      </c>
      <c r="Q24" s="99">
        <f t="shared" si="3"/>
        <v>17350</v>
      </c>
      <c r="R24" s="99">
        <f t="shared" si="4"/>
        <v>34700</v>
      </c>
      <c r="S24" s="99">
        <f t="shared" si="5"/>
        <v>52050</v>
      </c>
    </row>
    <row r="25" spans="1:19" ht="15.75" x14ac:dyDescent="0.25">
      <c r="A25" s="164" t="s">
        <v>97</v>
      </c>
      <c r="B25" s="24" t="s">
        <v>111</v>
      </c>
      <c r="C25" s="164" t="s">
        <v>112</v>
      </c>
      <c r="D25" s="164" t="s">
        <v>113</v>
      </c>
      <c r="E25" s="13">
        <v>2</v>
      </c>
      <c r="F25" s="13" t="s">
        <v>26</v>
      </c>
      <c r="G25" s="13" t="s">
        <v>26</v>
      </c>
      <c r="H25" s="18"/>
      <c r="I25" s="22"/>
      <c r="J25" s="23" t="s">
        <v>109</v>
      </c>
      <c r="K25" s="117">
        <v>46097</v>
      </c>
      <c r="L25" s="118">
        <v>46098</v>
      </c>
      <c r="M25" s="177" t="s">
        <v>102</v>
      </c>
      <c r="N25" s="196" t="s">
        <v>114</v>
      </c>
      <c r="O25" s="171">
        <v>1735</v>
      </c>
      <c r="P25" s="13">
        <v>2</v>
      </c>
      <c r="Q25" s="99">
        <f t="shared" si="3"/>
        <v>17350</v>
      </c>
      <c r="R25" s="99">
        <f t="shared" si="4"/>
        <v>34700</v>
      </c>
      <c r="S25" s="99">
        <f t="shared" si="5"/>
        <v>52050</v>
      </c>
    </row>
    <row r="26" spans="1:19" ht="15.75" x14ac:dyDescent="0.25">
      <c r="A26" s="164" t="s">
        <v>97</v>
      </c>
      <c r="B26" s="25" t="s">
        <v>115</v>
      </c>
      <c r="C26" s="197" t="s">
        <v>116</v>
      </c>
      <c r="D26" s="164" t="s">
        <v>117</v>
      </c>
      <c r="E26" s="13">
        <v>2</v>
      </c>
      <c r="F26" s="13" t="s">
        <v>26</v>
      </c>
      <c r="G26" s="13" t="s">
        <v>26</v>
      </c>
      <c r="H26" s="18"/>
      <c r="I26" s="22"/>
      <c r="J26" s="23" t="s">
        <v>118</v>
      </c>
      <c r="K26" s="117">
        <v>46097</v>
      </c>
      <c r="L26" s="118">
        <v>46098</v>
      </c>
      <c r="M26" s="175" t="s">
        <v>41</v>
      </c>
      <c r="N26" s="195"/>
      <c r="O26" s="171">
        <v>1735</v>
      </c>
      <c r="P26" s="13">
        <v>2</v>
      </c>
      <c r="Q26" s="99">
        <f t="shared" si="3"/>
        <v>17350</v>
      </c>
      <c r="R26" s="99">
        <f t="shared" si="4"/>
        <v>34700</v>
      </c>
      <c r="S26" s="99">
        <f t="shared" si="5"/>
        <v>52050</v>
      </c>
    </row>
    <row r="27" spans="1:19" ht="15.75" x14ac:dyDescent="0.25">
      <c r="A27" s="164" t="s">
        <v>97</v>
      </c>
      <c r="B27" s="24" t="s">
        <v>119</v>
      </c>
      <c r="C27" s="164" t="s">
        <v>120</v>
      </c>
      <c r="D27" s="164" t="s">
        <v>117</v>
      </c>
      <c r="E27" s="13">
        <v>2</v>
      </c>
      <c r="F27" s="26"/>
      <c r="G27" s="26"/>
      <c r="H27" s="26" t="s">
        <v>26</v>
      </c>
      <c r="I27" s="26" t="s">
        <v>26</v>
      </c>
      <c r="J27" s="27" t="s">
        <v>118</v>
      </c>
      <c r="K27" s="117">
        <v>46099</v>
      </c>
      <c r="L27" s="118">
        <v>46100</v>
      </c>
      <c r="M27" s="176" t="s">
        <v>41</v>
      </c>
      <c r="N27" s="195"/>
      <c r="O27" s="171">
        <v>1735</v>
      </c>
      <c r="P27" s="13">
        <v>2</v>
      </c>
      <c r="Q27" s="99">
        <f t="shared" si="3"/>
        <v>17350</v>
      </c>
      <c r="R27" s="99">
        <f t="shared" si="4"/>
        <v>34700</v>
      </c>
      <c r="S27" s="99">
        <f t="shared" si="5"/>
        <v>52050</v>
      </c>
    </row>
    <row r="28" spans="1:19" ht="15.75" x14ac:dyDescent="0.25">
      <c r="A28" s="164" t="s">
        <v>97</v>
      </c>
      <c r="B28" s="28" t="s">
        <v>121</v>
      </c>
      <c r="C28" s="164" t="s">
        <v>122</v>
      </c>
      <c r="D28" s="164" t="s">
        <v>50</v>
      </c>
      <c r="E28" s="13">
        <v>4</v>
      </c>
      <c r="F28" s="26" t="s">
        <v>26</v>
      </c>
      <c r="G28" s="26" t="s">
        <v>26</v>
      </c>
      <c r="H28" s="22" t="s">
        <v>26</v>
      </c>
      <c r="I28" s="22" t="s">
        <v>26</v>
      </c>
      <c r="J28" s="23" t="s">
        <v>123</v>
      </c>
      <c r="K28" s="117">
        <v>46097</v>
      </c>
      <c r="L28" s="118">
        <v>46100</v>
      </c>
      <c r="M28" s="164" t="s">
        <v>60</v>
      </c>
      <c r="N28" s="195"/>
      <c r="O28" s="171">
        <v>3228</v>
      </c>
      <c r="P28" s="13">
        <v>4</v>
      </c>
      <c r="Q28" s="99">
        <f t="shared" si="3"/>
        <v>32280</v>
      </c>
      <c r="R28" s="99">
        <f t="shared" si="4"/>
        <v>64560</v>
      </c>
      <c r="S28" s="99">
        <f t="shared" si="5"/>
        <v>96840</v>
      </c>
    </row>
    <row r="29" spans="1:19" ht="15.75" x14ac:dyDescent="0.25">
      <c r="A29" s="164" t="s">
        <v>97</v>
      </c>
      <c r="B29" s="29" t="s">
        <v>124</v>
      </c>
      <c r="C29" s="164" t="s">
        <v>125</v>
      </c>
      <c r="D29" s="164" t="s">
        <v>126</v>
      </c>
      <c r="E29" s="13">
        <v>2</v>
      </c>
      <c r="F29" s="26"/>
      <c r="G29" s="26"/>
      <c r="H29" s="22" t="s">
        <v>26</v>
      </c>
      <c r="I29" s="22" t="s">
        <v>26</v>
      </c>
      <c r="J29" s="23" t="s">
        <v>127</v>
      </c>
      <c r="K29" s="117">
        <v>46099</v>
      </c>
      <c r="L29" s="118">
        <v>46100</v>
      </c>
      <c r="M29" s="164" t="s">
        <v>54</v>
      </c>
      <c r="N29" s="195"/>
      <c r="O29" s="171">
        <v>1735</v>
      </c>
      <c r="P29" s="13">
        <v>2</v>
      </c>
      <c r="Q29" s="99">
        <f t="shared" si="3"/>
        <v>17350</v>
      </c>
      <c r="R29" s="99">
        <f t="shared" si="4"/>
        <v>34700</v>
      </c>
      <c r="S29" s="99">
        <f t="shared" si="5"/>
        <v>52050</v>
      </c>
    </row>
    <row r="30" spans="1:19" ht="15.75" x14ac:dyDescent="0.25">
      <c r="A30" s="164" t="s">
        <v>97</v>
      </c>
      <c r="B30" s="37" t="s">
        <v>128</v>
      </c>
      <c r="C30" s="198" t="s">
        <v>129</v>
      </c>
      <c r="D30" s="197" t="s">
        <v>126</v>
      </c>
      <c r="E30" s="199">
        <v>2</v>
      </c>
      <c r="F30" s="26" t="s">
        <v>26</v>
      </c>
      <c r="G30" s="26" t="s">
        <v>26</v>
      </c>
      <c r="H30" s="22"/>
      <c r="I30" s="22"/>
      <c r="J30" s="23" t="s">
        <v>127</v>
      </c>
      <c r="K30" s="117">
        <v>46097</v>
      </c>
      <c r="L30" s="118">
        <v>46098</v>
      </c>
      <c r="M30" s="197" t="s">
        <v>105</v>
      </c>
      <c r="N30" s="195" t="s">
        <v>130</v>
      </c>
      <c r="O30" s="171">
        <v>1735</v>
      </c>
      <c r="P30" s="199">
        <v>2</v>
      </c>
      <c r="Q30" s="99">
        <f t="shared" si="3"/>
        <v>17350</v>
      </c>
      <c r="R30" s="99">
        <f t="shared" si="4"/>
        <v>34700</v>
      </c>
      <c r="S30" s="99">
        <f t="shared" si="5"/>
        <v>52050</v>
      </c>
    </row>
    <row r="31" spans="1:19" ht="15.75" x14ac:dyDescent="0.25">
      <c r="A31" s="164" t="s">
        <v>97</v>
      </c>
      <c r="B31" s="92" t="s">
        <v>131</v>
      </c>
      <c r="C31" s="169" t="s">
        <v>132</v>
      </c>
      <c r="D31" s="164" t="s">
        <v>133</v>
      </c>
      <c r="E31" s="13">
        <v>1</v>
      </c>
      <c r="F31" s="26"/>
      <c r="G31" s="26" t="s">
        <v>26</v>
      </c>
      <c r="H31" s="22"/>
      <c r="I31" s="22"/>
      <c r="J31" s="23" t="s">
        <v>134</v>
      </c>
      <c r="K31" s="117">
        <v>46098</v>
      </c>
      <c r="L31" s="117">
        <v>46098</v>
      </c>
      <c r="M31" s="164" t="s">
        <v>105</v>
      </c>
      <c r="N31" s="195" t="s">
        <v>135</v>
      </c>
      <c r="O31" s="171">
        <v>881</v>
      </c>
      <c r="P31" s="13">
        <v>1</v>
      </c>
      <c r="Q31" s="99">
        <f t="shared" si="3"/>
        <v>8810</v>
      </c>
      <c r="R31" s="99">
        <f t="shared" si="4"/>
        <v>17620</v>
      </c>
      <c r="S31" s="99">
        <f t="shared" si="5"/>
        <v>26430</v>
      </c>
    </row>
    <row r="32" spans="1:19" ht="15.75" x14ac:dyDescent="0.25">
      <c r="A32" s="164" t="s">
        <v>97</v>
      </c>
      <c r="B32" s="9" t="s">
        <v>136</v>
      </c>
      <c r="C32" s="164" t="s">
        <v>137</v>
      </c>
      <c r="D32" s="164" t="s">
        <v>133</v>
      </c>
      <c r="E32" s="13">
        <v>1</v>
      </c>
      <c r="F32" s="26" t="s">
        <v>26</v>
      </c>
      <c r="G32" s="26"/>
      <c r="H32" s="22"/>
      <c r="I32" s="22"/>
      <c r="J32" s="23" t="s">
        <v>134</v>
      </c>
      <c r="K32" s="117">
        <v>46097</v>
      </c>
      <c r="L32" s="117">
        <v>46097</v>
      </c>
      <c r="M32" s="164" t="s">
        <v>105</v>
      </c>
      <c r="N32" s="195" t="s">
        <v>138</v>
      </c>
      <c r="O32" s="171">
        <v>881</v>
      </c>
      <c r="P32" s="13">
        <v>1</v>
      </c>
      <c r="Q32" s="99">
        <f t="shared" si="3"/>
        <v>8810</v>
      </c>
      <c r="R32" s="99">
        <f t="shared" si="4"/>
        <v>17620</v>
      </c>
      <c r="S32" s="99">
        <f t="shared" si="5"/>
        <v>26430</v>
      </c>
    </row>
    <row r="33" spans="1:19" ht="15.75" x14ac:dyDescent="0.25">
      <c r="A33" s="169" t="s">
        <v>97</v>
      </c>
      <c r="B33" s="30" t="s">
        <v>71</v>
      </c>
      <c r="C33" s="169" t="s">
        <v>72</v>
      </c>
      <c r="D33" s="169" t="s">
        <v>73</v>
      </c>
      <c r="E33" s="38">
        <v>2</v>
      </c>
      <c r="F33" s="119"/>
      <c r="G33" s="119"/>
      <c r="H33" s="31" t="s">
        <v>26</v>
      </c>
      <c r="I33" s="31" t="s">
        <v>26</v>
      </c>
      <c r="J33" s="27" t="s">
        <v>134</v>
      </c>
      <c r="K33" s="120">
        <v>46099</v>
      </c>
      <c r="L33" s="121">
        <v>46100</v>
      </c>
      <c r="M33" s="169" t="s">
        <v>89</v>
      </c>
      <c r="N33" s="195"/>
      <c r="O33" s="171">
        <v>1735</v>
      </c>
      <c r="P33" s="199">
        <v>2</v>
      </c>
      <c r="Q33" s="99">
        <f t="shared" si="3"/>
        <v>17350</v>
      </c>
      <c r="R33" s="99">
        <f t="shared" si="4"/>
        <v>34700</v>
      </c>
      <c r="S33" s="99">
        <f t="shared" si="5"/>
        <v>52050</v>
      </c>
    </row>
    <row r="34" spans="1:19" ht="15.75" x14ac:dyDescent="0.25">
      <c r="A34" s="164" t="s">
        <v>97</v>
      </c>
      <c r="B34" s="24" t="s">
        <v>139</v>
      </c>
      <c r="C34" s="164" t="s">
        <v>140</v>
      </c>
      <c r="D34" s="164" t="s">
        <v>141</v>
      </c>
      <c r="E34" s="13">
        <v>2</v>
      </c>
      <c r="F34" s="13" t="s">
        <v>26</v>
      </c>
      <c r="G34" s="26" t="s">
        <v>26</v>
      </c>
      <c r="H34" s="32"/>
      <c r="I34" s="33"/>
      <c r="J34" s="23" t="s">
        <v>142</v>
      </c>
      <c r="K34" s="117">
        <v>46097</v>
      </c>
      <c r="L34" s="118">
        <v>46098</v>
      </c>
      <c r="M34" s="164" t="s">
        <v>105</v>
      </c>
      <c r="N34" s="185"/>
      <c r="O34" s="171">
        <v>1735</v>
      </c>
      <c r="P34" s="13">
        <v>2</v>
      </c>
      <c r="Q34" s="99">
        <f t="shared" si="3"/>
        <v>17350</v>
      </c>
      <c r="R34" s="99">
        <f t="shared" si="4"/>
        <v>34700</v>
      </c>
      <c r="S34" s="99">
        <f t="shared" si="5"/>
        <v>52050</v>
      </c>
    </row>
    <row r="35" spans="1:19" ht="15.75" x14ac:dyDescent="0.25">
      <c r="A35" s="164" t="s">
        <v>97</v>
      </c>
      <c r="B35" s="34" t="s">
        <v>143</v>
      </c>
      <c r="C35" s="197" t="s">
        <v>144</v>
      </c>
      <c r="D35" s="164" t="s">
        <v>141</v>
      </c>
      <c r="E35" s="13">
        <v>2</v>
      </c>
      <c r="F35" s="13"/>
      <c r="G35" s="26"/>
      <c r="H35" s="26" t="s">
        <v>26</v>
      </c>
      <c r="I35" s="35" t="s">
        <v>26</v>
      </c>
      <c r="J35" s="23" t="s">
        <v>142</v>
      </c>
      <c r="K35" s="117">
        <v>46099</v>
      </c>
      <c r="L35" s="118">
        <v>46100</v>
      </c>
      <c r="M35" s="164" t="s">
        <v>105</v>
      </c>
      <c r="N35" s="175" t="s">
        <v>145</v>
      </c>
      <c r="O35" s="171">
        <v>1735</v>
      </c>
      <c r="P35" s="13">
        <v>2</v>
      </c>
      <c r="Q35" s="99">
        <f t="shared" si="3"/>
        <v>17350</v>
      </c>
      <c r="R35" s="99">
        <f t="shared" si="4"/>
        <v>34700</v>
      </c>
      <c r="S35" s="99">
        <f t="shared" si="5"/>
        <v>52050</v>
      </c>
    </row>
    <row r="36" spans="1:19" ht="15.75" x14ac:dyDescent="0.25">
      <c r="A36" s="164" t="s">
        <v>97</v>
      </c>
      <c r="B36" s="177" t="s">
        <v>146</v>
      </c>
      <c r="C36" s="197" t="s">
        <v>147</v>
      </c>
      <c r="D36" s="164" t="s">
        <v>148</v>
      </c>
      <c r="E36" s="13">
        <v>2</v>
      </c>
      <c r="F36" s="36"/>
      <c r="G36" s="36"/>
      <c r="H36" s="18" t="s">
        <v>26</v>
      </c>
      <c r="I36" s="22" t="s">
        <v>26</v>
      </c>
      <c r="J36" s="23" t="s">
        <v>149</v>
      </c>
      <c r="K36" s="117">
        <v>46099</v>
      </c>
      <c r="L36" s="118">
        <v>46100</v>
      </c>
      <c r="M36" s="164" t="s">
        <v>150</v>
      </c>
      <c r="N36" s="175" t="s">
        <v>151</v>
      </c>
      <c r="O36" s="171">
        <v>1735</v>
      </c>
      <c r="P36" s="13">
        <v>2</v>
      </c>
      <c r="Q36" s="99">
        <f>(O36*10)</f>
        <v>17350</v>
      </c>
      <c r="R36" s="99">
        <f>(O36*20)</f>
        <v>34700</v>
      </c>
      <c r="S36" s="99">
        <f>(O36*30)</f>
        <v>52050</v>
      </c>
    </row>
    <row r="37" spans="1:19" ht="15.75" x14ac:dyDescent="0.25">
      <c r="A37" s="164" t="s">
        <v>97</v>
      </c>
      <c r="B37" s="37" t="s">
        <v>152</v>
      </c>
      <c r="C37" s="198" t="s">
        <v>153</v>
      </c>
      <c r="D37" s="196" t="s">
        <v>154</v>
      </c>
      <c r="E37" s="13">
        <v>2</v>
      </c>
      <c r="F37" s="38" t="s">
        <v>26</v>
      </c>
      <c r="G37" s="38" t="s">
        <v>26</v>
      </c>
      <c r="H37" s="18"/>
      <c r="I37" s="22"/>
      <c r="J37" s="23" t="s">
        <v>149</v>
      </c>
      <c r="K37" s="117">
        <v>46097</v>
      </c>
      <c r="L37" s="118">
        <v>46098</v>
      </c>
      <c r="M37" s="177" t="s">
        <v>155</v>
      </c>
      <c r="N37" s="175"/>
      <c r="O37" s="171">
        <v>1735</v>
      </c>
      <c r="P37" s="13">
        <v>2</v>
      </c>
      <c r="Q37" s="99">
        <f>(O37*10)</f>
        <v>17350</v>
      </c>
      <c r="R37" s="99">
        <f>(O37*20)</f>
        <v>34700</v>
      </c>
      <c r="S37" s="99">
        <f>(O37*30)</f>
        <v>52050</v>
      </c>
    </row>
    <row r="38" spans="1:19" ht="15.75" x14ac:dyDescent="0.25">
      <c r="A38" s="177" t="s">
        <v>97</v>
      </c>
      <c r="B38" s="4" t="s">
        <v>156</v>
      </c>
      <c r="C38" s="177" t="s">
        <v>157</v>
      </c>
      <c r="D38" s="177" t="s">
        <v>69</v>
      </c>
      <c r="E38" s="122">
        <v>4</v>
      </c>
      <c r="F38" s="39" t="s">
        <v>26</v>
      </c>
      <c r="G38" s="39" t="s">
        <v>26</v>
      </c>
      <c r="H38" s="40" t="s">
        <v>26</v>
      </c>
      <c r="I38" s="41" t="s">
        <v>26</v>
      </c>
      <c r="J38" s="42" t="s">
        <v>158</v>
      </c>
      <c r="K38" s="117">
        <v>46097</v>
      </c>
      <c r="L38" s="118">
        <v>46100</v>
      </c>
      <c r="M38" s="175" t="s">
        <v>70</v>
      </c>
      <c r="N38" s="200"/>
      <c r="O38" s="171">
        <v>3228</v>
      </c>
      <c r="P38" s="13">
        <v>4</v>
      </c>
      <c r="Q38" s="99">
        <f>(O38*10)</f>
        <v>32280</v>
      </c>
      <c r="R38" s="99">
        <f>(O38*20)</f>
        <v>64560</v>
      </c>
      <c r="S38" s="99">
        <f>(O38*30)</f>
        <v>96840</v>
      </c>
    </row>
    <row r="39" spans="1:19" ht="15.75" x14ac:dyDescent="0.25">
      <c r="A39" s="175" t="s">
        <v>159</v>
      </c>
      <c r="B39" s="43" t="s">
        <v>160</v>
      </c>
      <c r="C39" s="175" t="s">
        <v>161</v>
      </c>
      <c r="D39" s="44" t="s">
        <v>79</v>
      </c>
      <c r="E39" s="123">
        <v>4</v>
      </c>
      <c r="F39" s="45" t="s">
        <v>26</v>
      </c>
      <c r="G39" s="45" t="s">
        <v>26</v>
      </c>
      <c r="H39" s="46" t="s">
        <v>26</v>
      </c>
      <c r="I39" s="47" t="s">
        <v>26</v>
      </c>
      <c r="J39" s="48" t="s">
        <v>162</v>
      </c>
      <c r="K39" s="124">
        <v>46097</v>
      </c>
      <c r="L39" s="118">
        <v>46100</v>
      </c>
      <c r="M39" s="197" t="s">
        <v>60</v>
      </c>
      <c r="N39" s="200"/>
      <c r="O39" s="171">
        <v>3228</v>
      </c>
      <c r="P39" s="13">
        <v>4</v>
      </c>
      <c r="Q39" s="99">
        <f>(O39*10)</f>
        <v>32280</v>
      </c>
      <c r="R39" s="99">
        <f>(O39*20)</f>
        <v>64560</v>
      </c>
      <c r="S39" s="99">
        <f>(O39*30)</f>
        <v>96840</v>
      </c>
    </row>
    <row r="40" spans="1:19" ht="15.75" x14ac:dyDescent="0.25">
      <c r="A40" s="176" t="s">
        <v>91</v>
      </c>
      <c r="B40" s="197"/>
      <c r="C40" s="191"/>
      <c r="D40" s="198"/>
      <c r="E40" s="57"/>
      <c r="F40" s="49"/>
      <c r="G40" s="50"/>
      <c r="H40" s="51"/>
      <c r="I40" s="52"/>
      <c r="J40" s="53"/>
      <c r="K40" s="201"/>
      <c r="L40" s="202"/>
      <c r="M40" s="197"/>
      <c r="N40" s="175"/>
      <c r="O40" s="171" t="s">
        <v>91</v>
      </c>
      <c r="P40" s="13"/>
      <c r="Q40" s="99">
        <f>SUM(Q22:Q38)</f>
        <v>307730</v>
      </c>
      <c r="R40" s="99">
        <f>SUM(R22:R38)</f>
        <v>615460</v>
      </c>
      <c r="S40" s="99">
        <f>SUM(S22:S38)</f>
        <v>923190</v>
      </c>
    </row>
    <row r="41" spans="1:19" ht="15.75" x14ac:dyDescent="0.25">
      <c r="A41" s="164" t="s">
        <v>163</v>
      </c>
      <c r="B41" s="197"/>
      <c r="C41" s="197"/>
      <c r="D41" s="197"/>
      <c r="E41" s="45"/>
      <c r="F41" s="125">
        <v>10</v>
      </c>
      <c r="G41" s="13">
        <v>10</v>
      </c>
      <c r="H41" s="18" t="s">
        <v>162</v>
      </c>
      <c r="I41" s="18" t="s">
        <v>162</v>
      </c>
      <c r="J41" s="23"/>
      <c r="K41" s="175"/>
      <c r="L41" s="186"/>
      <c r="M41" s="197"/>
      <c r="N41" s="175"/>
      <c r="O41" s="192"/>
      <c r="P41" s="13"/>
      <c r="Q41" s="164"/>
      <c r="R41" s="164"/>
      <c r="S41" s="164"/>
    </row>
    <row r="42" spans="1:19" ht="15.75" x14ac:dyDescent="0.25">
      <c r="A42" s="166" t="s">
        <v>164</v>
      </c>
      <c r="B42" s="203" t="s">
        <v>1</v>
      </c>
      <c r="C42" s="203" t="s">
        <v>165</v>
      </c>
      <c r="D42" s="203" t="s">
        <v>3</v>
      </c>
      <c r="E42" s="127" t="s">
        <v>15</v>
      </c>
      <c r="F42" s="21">
        <v>27</v>
      </c>
      <c r="G42" s="21">
        <v>28</v>
      </c>
      <c r="H42" s="114"/>
      <c r="I42" s="114"/>
      <c r="J42" s="126" t="s">
        <v>166</v>
      </c>
      <c r="K42" s="127"/>
      <c r="L42" s="21"/>
      <c r="M42" s="127" t="s">
        <v>12</v>
      </c>
      <c r="N42" s="185"/>
      <c r="O42" s="194"/>
      <c r="P42" s="21"/>
      <c r="Q42" s="166"/>
      <c r="R42" s="166"/>
      <c r="S42" s="166"/>
    </row>
    <row r="43" spans="1:19" ht="15.75" x14ac:dyDescent="0.25">
      <c r="A43" s="188" t="s">
        <v>167</v>
      </c>
      <c r="B43" s="54" t="s">
        <v>168</v>
      </c>
      <c r="C43" s="175" t="s">
        <v>169</v>
      </c>
      <c r="D43" s="177" t="s">
        <v>148</v>
      </c>
      <c r="E43" s="45">
        <v>2</v>
      </c>
      <c r="F43" s="128" t="s">
        <v>26</v>
      </c>
      <c r="G43" s="129" t="s">
        <v>26</v>
      </c>
      <c r="H43" s="18"/>
      <c r="I43" s="72"/>
      <c r="J43" s="48" t="s">
        <v>101</v>
      </c>
      <c r="K43" s="130">
        <v>46139</v>
      </c>
      <c r="L43" s="128">
        <v>46140</v>
      </c>
      <c r="M43" s="175" t="s">
        <v>150</v>
      </c>
      <c r="N43" s="200"/>
      <c r="O43" s="171">
        <v>1735</v>
      </c>
      <c r="P43" s="13">
        <v>2</v>
      </c>
      <c r="Q43" s="99">
        <f>(O43*10)</f>
        <v>17350</v>
      </c>
      <c r="R43" s="99">
        <f>(O43*20)</f>
        <v>34700</v>
      </c>
      <c r="S43" s="99">
        <f>(O43*30)</f>
        <v>52050</v>
      </c>
    </row>
    <row r="44" spans="1:19" ht="15.75" x14ac:dyDescent="0.25">
      <c r="A44" s="188" t="s">
        <v>167</v>
      </c>
      <c r="B44" s="175" t="s">
        <v>146</v>
      </c>
      <c r="C44" s="175" t="s">
        <v>147</v>
      </c>
      <c r="D44" s="175" t="s">
        <v>170</v>
      </c>
      <c r="E44" s="45">
        <v>2</v>
      </c>
      <c r="F44" s="128" t="s">
        <v>26</v>
      </c>
      <c r="G44" s="129" t="s">
        <v>26</v>
      </c>
      <c r="H44" s="18"/>
      <c r="I44" s="72"/>
      <c r="J44" s="48" t="s">
        <v>109</v>
      </c>
      <c r="K44" s="130">
        <v>46139</v>
      </c>
      <c r="L44" s="128">
        <v>46140</v>
      </c>
      <c r="M44" s="175" t="s">
        <v>150</v>
      </c>
      <c r="N44" s="200"/>
      <c r="O44" s="171">
        <v>1735</v>
      </c>
      <c r="P44" s="13">
        <v>2</v>
      </c>
      <c r="Q44" s="99">
        <f>(O44*10)</f>
        <v>17350</v>
      </c>
      <c r="R44" s="99">
        <f>(O44*20)</f>
        <v>34700</v>
      </c>
      <c r="S44" s="99">
        <f>(O44*30)</f>
        <v>52050</v>
      </c>
    </row>
    <row r="45" spans="1:19" ht="15.75" x14ac:dyDescent="0.25">
      <c r="A45" s="188" t="s">
        <v>167</v>
      </c>
      <c r="B45" s="175" t="s">
        <v>171</v>
      </c>
      <c r="C45" s="175" t="s">
        <v>172</v>
      </c>
      <c r="D45" s="175" t="s">
        <v>170</v>
      </c>
      <c r="E45" s="45">
        <v>2</v>
      </c>
      <c r="F45" s="128" t="s">
        <v>26</v>
      </c>
      <c r="G45" s="129" t="s">
        <v>26</v>
      </c>
      <c r="H45" s="18"/>
      <c r="I45" s="72"/>
      <c r="J45" s="48" t="s">
        <v>118</v>
      </c>
      <c r="K45" s="130">
        <v>46139</v>
      </c>
      <c r="L45" s="128">
        <v>46140</v>
      </c>
      <c r="M45" s="175" t="s">
        <v>150</v>
      </c>
      <c r="N45" s="200"/>
      <c r="O45" s="171">
        <v>1735</v>
      </c>
      <c r="P45" s="13">
        <v>2</v>
      </c>
      <c r="Q45" s="99">
        <f>(O45*10)</f>
        <v>17350</v>
      </c>
      <c r="R45" s="99">
        <f>(O45*20)</f>
        <v>34700</v>
      </c>
      <c r="S45" s="99">
        <f>(O45*30)</f>
        <v>52050</v>
      </c>
    </row>
    <row r="46" spans="1:19" ht="15.75" x14ac:dyDescent="0.25">
      <c r="A46" s="188" t="s">
        <v>167</v>
      </c>
      <c r="B46" s="204"/>
      <c r="C46" s="204" t="s">
        <v>173</v>
      </c>
      <c r="D46" s="196" t="s">
        <v>174</v>
      </c>
      <c r="E46" s="45"/>
      <c r="F46" s="128"/>
      <c r="G46" s="129"/>
      <c r="H46" s="18"/>
      <c r="I46" s="72"/>
      <c r="J46" s="48"/>
      <c r="K46" s="130"/>
      <c r="L46" s="128"/>
      <c r="M46" s="175"/>
      <c r="N46" s="200"/>
      <c r="O46" s="171"/>
      <c r="P46" s="13"/>
      <c r="Q46" s="99"/>
      <c r="R46" s="99"/>
      <c r="S46" s="99"/>
    </row>
    <row r="47" spans="1:19" ht="15.75" x14ac:dyDescent="0.25">
      <c r="A47" s="205" t="s">
        <v>167</v>
      </c>
      <c r="B47" s="204" t="s">
        <v>115</v>
      </c>
      <c r="C47" s="204" t="s">
        <v>116</v>
      </c>
      <c r="D47" s="204" t="s">
        <v>117</v>
      </c>
      <c r="E47" s="45">
        <v>2</v>
      </c>
      <c r="F47" s="128" t="s">
        <v>26</v>
      </c>
      <c r="G47" s="129" t="s">
        <v>26</v>
      </c>
      <c r="H47" s="18"/>
      <c r="I47" s="72"/>
      <c r="J47" s="48" t="s">
        <v>123</v>
      </c>
      <c r="K47" s="130">
        <v>46139</v>
      </c>
      <c r="L47" s="128">
        <v>46140</v>
      </c>
      <c r="M47" s="175" t="s">
        <v>150</v>
      </c>
      <c r="N47" s="200"/>
      <c r="O47" s="171">
        <v>1735</v>
      </c>
      <c r="P47" s="13">
        <v>2</v>
      </c>
      <c r="Q47" s="99">
        <f>(O47*10)</f>
        <v>17350</v>
      </c>
      <c r="R47" s="99">
        <f>(O47*20)</f>
        <v>34700</v>
      </c>
      <c r="S47" s="99">
        <f>(O47*30)</f>
        <v>52050</v>
      </c>
    </row>
    <row r="48" spans="1:19" ht="15.75" x14ac:dyDescent="0.25">
      <c r="A48" s="175" t="s">
        <v>91</v>
      </c>
      <c r="B48" s="175"/>
      <c r="C48" s="206"/>
      <c r="D48" s="207"/>
      <c r="E48" s="57"/>
      <c r="F48" s="49"/>
      <c r="G48" s="50"/>
      <c r="H48" s="51"/>
      <c r="I48" s="52"/>
      <c r="J48" s="53"/>
      <c r="K48" s="208"/>
      <c r="L48" s="202"/>
      <c r="M48" s="175"/>
      <c r="N48" s="200"/>
      <c r="O48" s="171" t="s">
        <v>91</v>
      </c>
      <c r="P48" s="13"/>
      <c r="Q48" s="99">
        <f>SUM(Q43:Q47)</f>
        <v>69400</v>
      </c>
      <c r="R48" s="99">
        <f>SUM(R43:R47)</f>
        <v>138800</v>
      </c>
      <c r="S48" s="99">
        <f>SUM(S43:S47)</f>
        <v>208200</v>
      </c>
    </row>
    <row r="49" spans="1:19" ht="15.75" x14ac:dyDescent="0.25">
      <c r="A49" s="175" t="s">
        <v>163</v>
      </c>
      <c r="B49" s="175"/>
      <c r="C49" s="175"/>
      <c r="D49" s="175"/>
      <c r="E49" s="131"/>
      <c r="F49" s="125">
        <v>4</v>
      </c>
      <c r="G49" s="13">
        <v>4</v>
      </c>
      <c r="H49" s="18"/>
      <c r="I49" s="18"/>
      <c r="J49" s="23"/>
      <c r="K49" s="175"/>
      <c r="L49" s="186"/>
      <c r="M49" s="175"/>
      <c r="N49" s="200"/>
      <c r="O49" s="192"/>
      <c r="P49" s="13"/>
      <c r="Q49" s="164"/>
      <c r="R49" s="164"/>
      <c r="S49" s="164"/>
    </row>
    <row r="50" spans="1:19" ht="15.75" x14ac:dyDescent="0.25">
      <c r="A50" s="209" t="s">
        <v>175</v>
      </c>
      <c r="B50" s="209" t="s">
        <v>1</v>
      </c>
      <c r="C50" s="209" t="s">
        <v>176</v>
      </c>
      <c r="D50" s="209" t="s">
        <v>3</v>
      </c>
      <c r="E50" s="145" t="s">
        <v>15</v>
      </c>
      <c r="F50" s="21">
        <v>20</v>
      </c>
      <c r="G50" s="21">
        <v>21</v>
      </c>
      <c r="H50" s="114" t="s">
        <v>177</v>
      </c>
      <c r="I50" s="114" t="s">
        <v>178</v>
      </c>
      <c r="J50" s="132" t="s">
        <v>179</v>
      </c>
      <c r="K50" s="133"/>
      <c r="L50" s="134"/>
      <c r="M50" s="209" t="s">
        <v>12</v>
      </c>
      <c r="N50" s="185"/>
      <c r="O50" s="194"/>
      <c r="P50" s="21"/>
      <c r="Q50" s="166"/>
      <c r="R50" s="166"/>
      <c r="S50" s="166"/>
    </row>
    <row r="51" spans="1:19" ht="15.75" x14ac:dyDescent="0.25">
      <c r="A51" s="164" t="s">
        <v>180</v>
      </c>
      <c r="B51" s="60" t="s">
        <v>64</v>
      </c>
      <c r="C51" s="164" t="s">
        <v>181</v>
      </c>
      <c r="D51" s="164" t="s">
        <v>66</v>
      </c>
      <c r="E51" s="13">
        <v>2</v>
      </c>
      <c r="F51" s="68" t="s">
        <v>26</v>
      </c>
      <c r="G51" s="13" t="s">
        <v>26</v>
      </c>
      <c r="H51" s="18"/>
      <c r="I51" s="22"/>
      <c r="J51" s="55" t="s">
        <v>27</v>
      </c>
      <c r="K51" s="117">
        <v>46132</v>
      </c>
      <c r="L51" s="118">
        <v>46133</v>
      </c>
      <c r="M51" s="164" t="s">
        <v>60</v>
      </c>
      <c r="N51" s="175"/>
      <c r="O51" s="171">
        <v>1735</v>
      </c>
      <c r="P51" s="13">
        <v>2</v>
      </c>
      <c r="Q51" s="99">
        <f t="shared" ref="Q51:Q71" si="6">(O51*10)</f>
        <v>17350</v>
      </c>
      <c r="R51" s="99">
        <f t="shared" ref="R51:R71" si="7">(O51*20)</f>
        <v>34700</v>
      </c>
      <c r="S51" s="99">
        <f t="shared" ref="S51:S71" si="8">(O51*30)</f>
        <v>52050</v>
      </c>
    </row>
    <row r="52" spans="1:19" ht="15.75" x14ac:dyDescent="0.25">
      <c r="A52" s="164" t="s">
        <v>180</v>
      </c>
      <c r="B52" s="164" t="s">
        <v>182</v>
      </c>
      <c r="C52" s="168" t="s">
        <v>183</v>
      </c>
      <c r="D52" s="168" t="s">
        <v>184</v>
      </c>
      <c r="E52" s="68" t="s">
        <v>85</v>
      </c>
      <c r="F52" s="13" t="s">
        <v>26</v>
      </c>
      <c r="G52" s="13"/>
      <c r="H52" s="13"/>
      <c r="I52" s="13"/>
      <c r="J52" s="55" t="s">
        <v>27</v>
      </c>
      <c r="K52" s="117">
        <v>46132</v>
      </c>
      <c r="L52" s="117">
        <v>46132</v>
      </c>
      <c r="M52" s="164" t="s">
        <v>105</v>
      </c>
      <c r="N52" s="210"/>
      <c r="O52" s="171">
        <v>518</v>
      </c>
      <c r="P52" s="68" t="s">
        <v>85</v>
      </c>
      <c r="Q52" s="99">
        <f t="shared" si="6"/>
        <v>5180</v>
      </c>
      <c r="R52" s="99">
        <f t="shared" si="7"/>
        <v>10360</v>
      </c>
      <c r="S52" s="99">
        <f t="shared" si="8"/>
        <v>15540</v>
      </c>
    </row>
    <row r="53" spans="1:19" ht="15.75" x14ac:dyDescent="0.25">
      <c r="A53" s="164" t="s">
        <v>180</v>
      </c>
      <c r="B53" s="56" t="s">
        <v>185</v>
      </c>
      <c r="C53" s="197" t="s">
        <v>186</v>
      </c>
      <c r="D53" s="168" t="s">
        <v>187</v>
      </c>
      <c r="E53" s="68">
        <v>4</v>
      </c>
      <c r="F53" s="13" t="s">
        <v>26</v>
      </c>
      <c r="G53" s="13" t="s">
        <v>26</v>
      </c>
      <c r="H53" s="13" t="s">
        <v>26</v>
      </c>
      <c r="I53" s="13" t="s">
        <v>26</v>
      </c>
      <c r="J53" s="55" t="s">
        <v>27</v>
      </c>
      <c r="K53" s="117">
        <v>46132</v>
      </c>
      <c r="L53" s="118">
        <v>46135</v>
      </c>
      <c r="M53" s="164" t="s">
        <v>188</v>
      </c>
      <c r="N53" s="185"/>
      <c r="O53" s="171">
        <v>3228</v>
      </c>
      <c r="P53" s="13">
        <v>4</v>
      </c>
      <c r="Q53" s="99">
        <f t="shared" si="6"/>
        <v>32280</v>
      </c>
      <c r="R53" s="99">
        <f t="shared" si="7"/>
        <v>64560</v>
      </c>
      <c r="S53" s="99">
        <f t="shared" si="8"/>
        <v>96840</v>
      </c>
    </row>
    <row r="54" spans="1:19" ht="15.75" x14ac:dyDescent="0.25">
      <c r="A54" s="211" t="s">
        <v>180</v>
      </c>
      <c r="B54" s="94" t="s">
        <v>189</v>
      </c>
      <c r="C54" s="211" t="s">
        <v>190</v>
      </c>
      <c r="D54" s="211" t="s">
        <v>191</v>
      </c>
      <c r="E54" s="36" t="s">
        <v>85</v>
      </c>
      <c r="F54" s="13"/>
      <c r="G54" s="57" t="s">
        <v>192</v>
      </c>
      <c r="H54" s="13"/>
      <c r="I54" s="13"/>
      <c r="J54" s="55" t="s">
        <v>27</v>
      </c>
      <c r="K54" s="117">
        <v>46133</v>
      </c>
      <c r="L54" s="117">
        <v>46133</v>
      </c>
      <c r="M54" s="164" t="s">
        <v>54</v>
      </c>
      <c r="N54" s="185"/>
      <c r="O54" s="171">
        <v>518</v>
      </c>
      <c r="P54" s="68" t="s">
        <v>85</v>
      </c>
      <c r="Q54" s="99">
        <f t="shared" si="6"/>
        <v>5180</v>
      </c>
      <c r="R54" s="99">
        <f t="shared" si="7"/>
        <v>10360</v>
      </c>
      <c r="S54" s="99">
        <f t="shared" si="8"/>
        <v>15540</v>
      </c>
    </row>
    <row r="55" spans="1:19" ht="15.75" x14ac:dyDescent="0.25">
      <c r="A55" s="164" t="s">
        <v>180</v>
      </c>
      <c r="B55" s="136" t="s">
        <v>193</v>
      </c>
      <c r="C55" s="168" t="s">
        <v>194</v>
      </c>
      <c r="D55" s="168" t="s">
        <v>191</v>
      </c>
      <c r="E55" s="68">
        <v>2</v>
      </c>
      <c r="F55" s="13" t="s">
        <v>26</v>
      </c>
      <c r="G55" s="57" t="s">
        <v>26</v>
      </c>
      <c r="H55" s="13"/>
      <c r="I55" s="13"/>
      <c r="J55" s="55" t="s">
        <v>27</v>
      </c>
      <c r="K55" s="117">
        <v>46133</v>
      </c>
      <c r="L55" s="118">
        <v>46134</v>
      </c>
      <c r="M55" s="164" t="s">
        <v>54</v>
      </c>
      <c r="N55" s="185"/>
      <c r="O55" s="171">
        <v>1735</v>
      </c>
      <c r="P55" s="68">
        <v>2</v>
      </c>
      <c r="Q55" s="99">
        <f t="shared" si="6"/>
        <v>17350</v>
      </c>
      <c r="R55" s="99">
        <f t="shared" si="7"/>
        <v>34700</v>
      </c>
      <c r="S55" s="99">
        <f t="shared" si="8"/>
        <v>52050</v>
      </c>
    </row>
    <row r="56" spans="1:19" ht="15.75" x14ac:dyDescent="0.25">
      <c r="A56" s="164" t="s">
        <v>180</v>
      </c>
      <c r="B56" s="28" t="s">
        <v>195</v>
      </c>
      <c r="C56" s="168" t="s">
        <v>196</v>
      </c>
      <c r="D56" s="168" t="s">
        <v>69</v>
      </c>
      <c r="E56" s="68">
        <v>2</v>
      </c>
      <c r="F56" s="13"/>
      <c r="G56" s="13"/>
      <c r="H56" s="18" t="s">
        <v>26</v>
      </c>
      <c r="I56" s="22" t="s">
        <v>26</v>
      </c>
      <c r="J56" s="55" t="s">
        <v>27</v>
      </c>
      <c r="K56" s="117">
        <v>46134</v>
      </c>
      <c r="L56" s="118">
        <v>46135</v>
      </c>
      <c r="M56" s="164" t="s">
        <v>105</v>
      </c>
      <c r="N56" s="212"/>
      <c r="O56" s="171">
        <v>1735</v>
      </c>
      <c r="P56" s="68">
        <v>2</v>
      </c>
      <c r="Q56" s="99">
        <f t="shared" si="6"/>
        <v>17350</v>
      </c>
      <c r="R56" s="99">
        <f t="shared" si="7"/>
        <v>34700</v>
      </c>
      <c r="S56" s="99">
        <f t="shared" si="8"/>
        <v>52050</v>
      </c>
    </row>
    <row r="57" spans="1:19" ht="15.75" x14ac:dyDescent="0.25">
      <c r="A57" s="164" t="s">
        <v>180</v>
      </c>
      <c r="B57" s="136" t="s">
        <v>197</v>
      </c>
      <c r="C57" s="168" t="s">
        <v>198</v>
      </c>
      <c r="D57" s="168" t="s">
        <v>199</v>
      </c>
      <c r="E57" s="68">
        <v>1</v>
      </c>
      <c r="F57" s="13" t="s">
        <v>26</v>
      </c>
      <c r="G57" s="13"/>
      <c r="H57" s="18"/>
      <c r="I57" s="22"/>
      <c r="J57" s="55" t="s">
        <v>27</v>
      </c>
      <c r="K57" s="117">
        <v>46132</v>
      </c>
      <c r="L57" s="117">
        <v>46132</v>
      </c>
      <c r="M57" s="164" t="s">
        <v>30</v>
      </c>
      <c r="N57" s="212"/>
      <c r="O57" s="171">
        <v>881</v>
      </c>
      <c r="P57" s="68">
        <v>1</v>
      </c>
      <c r="Q57" s="99">
        <f t="shared" si="6"/>
        <v>8810</v>
      </c>
      <c r="R57" s="99">
        <f t="shared" si="7"/>
        <v>17620</v>
      </c>
      <c r="S57" s="99">
        <f t="shared" si="8"/>
        <v>26430</v>
      </c>
    </row>
    <row r="58" spans="1:19" ht="15.75" x14ac:dyDescent="0.25">
      <c r="A58" s="164" t="s">
        <v>180</v>
      </c>
      <c r="B58" s="136" t="s">
        <v>200</v>
      </c>
      <c r="C58" s="56" t="s">
        <v>201</v>
      </c>
      <c r="D58" s="168" t="s">
        <v>199</v>
      </c>
      <c r="E58" s="68">
        <v>1</v>
      </c>
      <c r="F58" s="13"/>
      <c r="G58" s="13" t="s">
        <v>26</v>
      </c>
      <c r="H58" s="18"/>
      <c r="I58" s="22"/>
      <c r="J58" s="55" t="s">
        <v>27</v>
      </c>
      <c r="K58" s="117">
        <v>46133</v>
      </c>
      <c r="L58" s="117">
        <v>46133</v>
      </c>
      <c r="M58" s="164" t="s">
        <v>41</v>
      </c>
      <c r="N58" s="212"/>
      <c r="O58" s="171">
        <v>881</v>
      </c>
      <c r="P58" s="68">
        <v>1</v>
      </c>
      <c r="Q58" s="99">
        <f t="shared" si="6"/>
        <v>8810</v>
      </c>
      <c r="R58" s="99">
        <f t="shared" si="7"/>
        <v>17620</v>
      </c>
      <c r="S58" s="99">
        <f t="shared" si="8"/>
        <v>26430</v>
      </c>
    </row>
    <row r="59" spans="1:19" ht="15.75" x14ac:dyDescent="0.25">
      <c r="A59" s="164" t="s">
        <v>180</v>
      </c>
      <c r="B59" s="56" t="s">
        <v>202</v>
      </c>
      <c r="C59" s="168" t="s">
        <v>203</v>
      </c>
      <c r="D59" s="168" t="s">
        <v>204</v>
      </c>
      <c r="E59" s="68">
        <v>2</v>
      </c>
      <c r="F59" s="13"/>
      <c r="G59" s="13"/>
      <c r="H59" s="18" t="s">
        <v>26</v>
      </c>
      <c r="I59" s="22" t="s">
        <v>26</v>
      </c>
      <c r="J59" s="55" t="s">
        <v>27</v>
      </c>
      <c r="K59" s="117">
        <v>46134</v>
      </c>
      <c r="L59" s="118">
        <v>46135</v>
      </c>
      <c r="M59" s="164" t="s">
        <v>105</v>
      </c>
      <c r="N59" s="212"/>
      <c r="O59" s="171">
        <v>1735</v>
      </c>
      <c r="P59" s="68">
        <v>2</v>
      </c>
      <c r="Q59" s="99">
        <f t="shared" si="6"/>
        <v>17350</v>
      </c>
      <c r="R59" s="99">
        <f t="shared" si="7"/>
        <v>34700</v>
      </c>
      <c r="S59" s="99">
        <f t="shared" si="8"/>
        <v>52050</v>
      </c>
    </row>
    <row r="60" spans="1:19" ht="15.75" x14ac:dyDescent="0.25">
      <c r="A60" s="164" t="s">
        <v>180</v>
      </c>
      <c r="B60" s="91" t="s">
        <v>205</v>
      </c>
      <c r="C60" s="56" t="s">
        <v>206</v>
      </c>
      <c r="D60" s="164" t="s">
        <v>207</v>
      </c>
      <c r="E60" s="91">
        <v>1</v>
      </c>
      <c r="F60" s="13" t="s">
        <v>26</v>
      </c>
      <c r="G60" s="13"/>
      <c r="H60" s="18"/>
      <c r="I60" s="22"/>
      <c r="J60" s="55" t="s">
        <v>27</v>
      </c>
      <c r="K60" s="117">
        <v>46132</v>
      </c>
      <c r="L60" s="117">
        <v>46132</v>
      </c>
      <c r="M60" s="164" t="s">
        <v>54</v>
      </c>
      <c r="N60" s="210"/>
      <c r="O60" s="171">
        <v>881</v>
      </c>
      <c r="P60" s="91">
        <v>1</v>
      </c>
      <c r="Q60" s="99">
        <f t="shared" si="6"/>
        <v>8810</v>
      </c>
      <c r="R60" s="99">
        <f t="shared" si="7"/>
        <v>17620</v>
      </c>
      <c r="S60" s="99">
        <f t="shared" si="8"/>
        <v>26430</v>
      </c>
    </row>
    <row r="61" spans="1:19" ht="15.75" x14ac:dyDescent="0.25">
      <c r="A61" s="164" t="s">
        <v>180</v>
      </c>
      <c r="B61" s="91" t="s">
        <v>208</v>
      </c>
      <c r="C61" s="56" t="s">
        <v>209</v>
      </c>
      <c r="D61" s="164" t="s">
        <v>207</v>
      </c>
      <c r="E61" s="91">
        <v>1</v>
      </c>
      <c r="F61" s="13"/>
      <c r="G61" s="13" t="s">
        <v>26</v>
      </c>
      <c r="H61" s="18"/>
      <c r="I61" s="22"/>
      <c r="J61" s="55" t="s">
        <v>27</v>
      </c>
      <c r="K61" s="117">
        <v>46133</v>
      </c>
      <c r="L61" s="117">
        <v>46133</v>
      </c>
      <c r="M61" s="164" t="s">
        <v>54</v>
      </c>
      <c r="N61" s="210"/>
      <c r="O61" s="171">
        <v>881</v>
      </c>
      <c r="P61" s="91">
        <v>1</v>
      </c>
      <c r="Q61" s="99">
        <f t="shared" si="6"/>
        <v>8810</v>
      </c>
      <c r="R61" s="99">
        <f t="shared" si="7"/>
        <v>17620</v>
      </c>
      <c r="S61" s="99">
        <f t="shared" si="8"/>
        <v>26430</v>
      </c>
    </row>
    <row r="62" spans="1:19" ht="15.75" x14ac:dyDescent="0.25">
      <c r="A62" s="164" t="s">
        <v>180</v>
      </c>
      <c r="B62" s="34" t="s">
        <v>48</v>
      </c>
      <c r="C62" s="168" t="s">
        <v>49</v>
      </c>
      <c r="D62" s="168" t="s">
        <v>50</v>
      </c>
      <c r="E62" s="68">
        <v>2</v>
      </c>
      <c r="F62" s="13"/>
      <c r="G62" s="13"/>
      <c r="H62" s="18" t="s">
        <v>26</v>
      </c>
      <c r="I62" s="22" t="s">
        <v>26</v>
      </c>
      <c r="J62" s="55" t="s">
        <v>27</v>
      </c>
      <c r="K62" s="117">
        <v>46134</v>
      </c>
      <c r="L62" s="118">
        <v>46135</v>
      </c>
      <c r="M62" s="164" t="s">
        <v>30</v>
      </c>
      <c r="N62" s="210"/>
      <c r="O62" s="171">
        <v>1735</v>
      </c>
      <c r="P62" s="68">
        <v>2</v>
      </c>
      <c r="Q62" s="99">
        <f t="shared" si="6"/>
        <v>17350</v>
      </c>
      <c r="R62" s="99">
        <f t="shared" si="7"/>
        <v>34700</v>
      </c>
      <c r="S62" s="99">
        <f t="shared" si="8"/>
        <v>52050</v>
      </c>
    </row>
    <row r="63" spans="1:19" ht="15.75" x14ac:dyDescent="0.25">
      <c r="A63" s="164" t="s">
        <v>180</v>
      </c>
      <c r="B63" s="58" t="s">
        <v>52</v>
      </c>
      <c r="C63" s="168" t="s">
        <v>53</v>
      </c>
      <c r="D63" s="168" t="s">
        <v>50</v>
      </c>
      <c r="E63" s="68">
        <v>1</v>
      </c>
      <c r="F63" s="13" t="s">
        <v>26</v>
      </c>
      <c r="G63" s="13"/>
      <c r="H63" s="18"/>
      <c r="I63" s="22"/>
      <c r="J63" s="55" t="s">
        <v>27</v>
      </c>
      <c r="K63" s="117">
        <v>46132</v>
      </c>
      <c r="L63" s="117">
        <v>46132</v>
      </c>
      <c r="M63" s="164" t="s">
        <v>54</v>
      </c>
      <c r="N63" s="210"/>
      <c r="O63" s="171">
        <v>881</v>
      </c>
      <c r="P63" s="68">
        <v>1</v>
      </c>
      <c r="Q63" s="99">
        <f t="shared" si="6"/>
        <v>8810</v>
      </c>
      <c r="R63" s="99">
        <f t="shared" si="7"/>
        <v>17620</v>
      </c>
      <c r="S63" s="99">
        <f t="shared" si="8"/>
        <v>26430</v>
      </c>
    </row>
    <row r="64" spans="1:19" ht="15.75" x14ac:dyDescent="0.25">
      <c r="A64" s="164" t="s">
        <v>180</v>
      </c>
      <c r="B64" s="9" t="s">
        <v>136</v>
      </c>
      <c r="C64" s="168" t="s">
        <v>137</v>
      </c>
      <c r="D64" s="168" t="s">
        <v>133</v>
      </c>
      <c r="E64" s="68">
        <v>1</v>
      </c>
      <c r="F64" s="13"/>
      <c r="G64" s="13" t="s">
        <v>26</v>
      </c>
      <c r="H64" s="18"/>
      <c r="I64" s="22"/>
      <c r="J64" s="55" t="s">
        <v>27</v>
      </c>
      <c r="K64" s="117">
        <v>46133</v>
      </c>
      <c r="L64" s="117">
        <v>46133</v>
      </c>
      <c r="M64" s="164" t="s">
        <v>105</v>
      </c>
      <c r="N64" s="175" t="s">
        <v>210</v>
      </c>
      <c r="O64" s="171">
        <v>881</v>
      </c>
      <c r="P64" s="68">
        <v>1</v>
      </c>
      <c r="Q64" s="99">
        <f t="shared" si="6"/>
        <v>8810</v>
      </c>
      <c r="R64" s="99">
        <f t="shared" si="7"/>
        <v>17620</v>
      </c>
      <c r="S64" s="99">
        <f t="shared" si="8"/>
        <v>26430</v>
      </c>
    </row>
    <row r="65" spans="1:19" ht="15.75" x14ac:dyDescent="0.25">
      <c r="A65" s="164" t="s">
        <v>180</v>
      </c>
      <c r="B65" s="91" t="s">
        <v>23</v>
      </c>
      <c r="C65" s="164" t="s">
        <v>24</v>
      </c>
      <c r="D65" s="168" t="s">
        <v>25</v>
      </c>
      <c r="E65" s="68">
        <v>2</v>
      </c>
      <c r="F65" s="13"/>
      <c r="G65" s="13"/>
      <c r="H65" s="18" t="s">
        <v>26</v>
      </c>
      <c r="I65" s="22" t="s">
        <v>26</v>
      </c>
      <c r="J65" s="55" t="s">
        <v>27</v>
      </c>
      <c r="K65" s="117">
        <v>46134</v>
      </c>
      <c r="L65" s="118">
        <v>46135</v>
      </c>
      <c r="M65" s="164" t="s">
        <v>30</v>
      </c>
      <c r="N65" s="204" t="s">
        <v>211</v>
      </c>
      <c r="O65" s="171">
        <v>1735</v>
      </c>
      <c r="P65" s="68">
        <v>2</v>
      </c>
      <c r="Q65" s="99">
        <f t="shared" si="6"/>
        <v>17350</v>
      </c>
      <c r="R65" s="99">
        <f t="shared" si="7"/>
        <v>34700</v>
      </c>
      <c r="S65" s="99">
        <f t="shared" si="8"/>
        <v>52050</v>
      </c>
    </row>
    <row r="66" spans="1:19" ht="15.75" x14ac:dyDescent="0.25">
      <c r="A66" s="164" t="s">
        <v>180</v>
      </c>
      <c r="B66" s="168" t="s">
        <v>71</v>
      </c>
      <c r="C66" s="168" t="s">
        <v>72</v>
      </c>
      <c r="D66" s="168" t="s">
        <v>73</v>
      </c>
      <c r="E66" s="68">
        <v>2</v>
      </c>
      <c r="F66" s="13" t="s">
        <v>26</v>
      </c>
      <c r="G66" s="13" t="s">
        <v>26</v>
      </c>
      <c r="H66" s="18"/>
      <c r="I66" s="22"/>
      <c r="J66" s="55" t="s">
        <v>27</v>
      </c>
      <c r="K66" s="117">
        <v>46132</v>
      </c>
      <c r="L66" s="117">
        <v>46133</v>
      </c>
      <c r="M66" s="168" t="s">
        <v>41</v>
      </c>
      <c r="N66" s="164"/>
      <c r="O66" s="171">
        <v>1735</v>
      </c>
      <c r="P66" s="68">
        <v>2</v>
      </c>
      <c r="Q66" s="99">
        <f t="shared" si="6"/>
        <v>17350</v>
      </c>
      <c r="R66" s="99">
        <f t="shared" si="7"/>
        <v>34700</v>
      </c>
      <c r="S66" s="99">
        <f t="shared" si="8"/>
        <v>52050</v>
      </c>
    </row>
    <row r="67" spans="1:19" ht="15.75" x14ac:dyDescent="0.25">
      <c r="A67" s="164" t="s">
        <v>180</v>
      </c>
      <c r="B67" s="68" t="s">
        <v>212</v>
      </c>
      <c r="C67" s="168" t="s">
        <v>213</v>
      </c>
      <c r="D67" s="168" t="s">
        <v>214</v>
      </c>
      <c r="E67" s="68">
        <v>2</v>
      </c>
      <c r="F67" s="13" t="s">
        <v>26</v>
      </c>
      <c r="G67" s="13" t="s">
        <v>26</v>
      </c>
      <c r="H67" s="18"/>
      <c r="I67" s="22"/>
      <c r="J67" s="55" t="s">
        <v>27</v>
      </c>
      <c r="K67" s="117">
        <v>46132</v>
      </c>
      <c r="L67" s="118">
        <v>46133</v>
      </c>
      <c r="M67" s="168" t="s">
        <v>215</v>
      </c>
      <c r="N67" s="164"/>
      <c r="O67" s="171">
        <v>1735</v>
      </c>
      <c r="P67" s="68">
        <v>2</v>
      </c>
      <c r="Q67" s="99">
        <f t="shared" si="6"/>
        <v>17350</v>
      </c>
      <c r="R67" s="99">
        <f t="shared" si="7"/>
        <v>34700</v>
      </c>
      <c r="S67" s="99">
        <f t="shared" si="8"/>
        <v>52050</v>
      </c>
    </row>
    <row r="68" spans="1:19" ht="15.75" x14ac:dyDescent="0.25">
      <c r="A68" s="164" t="s">
        <v>180</v>
      </c>
      <c r="B68" s="68" t="s">
        <v>216</v>
      </c>
      <c r="C68" s="168" t="s">
        <v>217</v>
      </c>
      <c r="D68" s="168" t="s">
        <v>214</v>
      </c>
      <c r="E68" s="68">
        <v>1</v>
      </c>
      <c r="F68" s="68"/>
      <c r="G68" s="68"/>
      <c r="H68" s="68"/>
      <c r="I68" s="68" t="s">
        <v>26</v>
      </c>
      <c r="J68" s="55" t="s">
        <v>27</v>
      </c>
      <c r="K68" s="118">
        <v>46135</v>
      </c>
      <c r="L68" s="118">
        <v>46135</v>
      </c>
      <c r="M68" s="168" t="s">
        <v>215</v>
      </c>
      <c r="N68" s="164"/>
      <c r="O68" s="171">
        <v>881</v>
      </c>
      <c r="P68" s="68">
        <v>1</v>
      </c>
      <c r="Q68" s="99">
        <f t="shared" si="6"/>
        <v>8810</v>
      </c>
      <c r="R68" s="99">
        <f t="shared" si="7"/>
        <v>17620</v>
      </c>
      <c r="S68" s="99">
        <f t="shared" si="8"/>
        <v>26430</v>
      </c>
    </row>
    <row r="69" spans="1:19" ht="15.75" x14ac:dyDescent="0.25">
      <c r="A69" s="164" t="s">
        <v>180</v>
      </c>
      <c r="B69" s="60" t="s">
        <v>218</v>
      </c>
      <c r="C69" s="168" t="s">
        <v>219</v>
      </c>
      <c r="D69" s="168" t="s">
        <v>220</v>
      </c>
      <c r="E69" s="68">
        <v>2</v>
      </c>
      <c r="F69" s="68" t="s">
        <v>26</v>
      </c>
      <c r="G69" s="13" t="s">
        <v>26</v>
      </c>
      <c r="H69" s="13"/>
      <c r="I69" s="13"/>
      <c r="J69" s="55" t="s">
        <v>27</v>
      </c>
      <c r="K69" s="117">
        <v>46132</v>
      </c>
      <c r="L69" s="118">
        <v>46133</v>
      </c>
      <c r="M69" s="168" t="s">
        <v>221</v>
      </c>
      <c r="N69" s="164"/>
      <c r="O69" s="171">
        <v>1735</v>
      </c>
      <c r="P69" s="68">
        <v>2</v>
      </c>
      <c r="Q69" s="99">
        <f t="shared" si="6"/>
        <v>17350</v>
      </c>
      <c r="R69" s="99">
        <f t="shared" si="7"/>
        <v>34700</v>
      </c>
      <c r="S69" s="99">
        <f t="shared" si="8"/>
        <v>52050</v>
      </c>
    </row>
    <row r="70" spans="1:19" ht="15.75" x14ac:dyDescent="0.25">
      <c r="A70" s="177" t="s">
        <v>180</v>
      </c>
      <c r="B70" s="213" t="s">
        <v>222</v>
      </c>
      <c r="C70" s="172" t="s">
        <v>223</v>
      </c>
      <c r="D70" s="172" t="s">
        <v>224</v>
      </c>
      <c r="E70" s="68">
        <v>2</v>
      </c>
      <c r="F70" s="68"/>
      <c r="G70" s="13"/>
      <c r="H70" s="18" t="s">
        <v>26</v>
      </c>
      <c r="I70" s="22" t="s">
        <v>26</v>
      </c>
      <c r="J70" s="55" t="s">
        <v>27</v>
      </c>
      <c r="K70" s="117">
        <v>46134</v>
      </c>
      <c r="L70" s="118">
        <v>46135</v>
      </c>
      <c r="M70" s="177" t="s">
        <v>30</v>
      </c>
      <c r="N70" s="164"/>
      <c r="O70" s="171">
        <v>1735</v>
      </c>
      <c r="P70" s="68">
        <v>2</v>
      </c>
      <c r="Q70" s="99">
        <f t="shared" si="6"/>
        <v>17350</v>
      </c>
      <c r="R70" s="99">
        <f t="shared" si="7"/>
        <v>34700</v>
      </c>
      <c r="S70" s="99">
        <f t="shared" si="8"/>
        <v>52050</v>
      </c>
    </row>
    <row r="71" spans="1:19" ht="15.75" x14ac:dyDescent="0.25">
      <c r="A71" s="164" t="s">
        <v>180</v>
      </c>
      <c r="B71" s="34" t="s">
        <v>225</v>
      </c>
      <c r="C71" s="214" t="s">
        <v>226</v>
      </c>
      <c r="D71" s="177" t="s">
        <v>227</v>
      </c>
      <c r="E71" s="139">
        <v>2</v>
      </c>
      <c r="F71" s="68" t="s">
        <v>26</v>
      </c>
      <c r="G71" s="13" t="s">
        <v>26</v>
      </c>
      <c r="H71" s="18"/>
      <c r="I71" s="22"/>
      <c r="J71" s="55" t="s">
        <v>27</v>
      </c>
      <c r="K71" s="117">
        <v>46132</v>
      </c>
      <c r="L71" s="118">
        <v>46133</v>
      </c>
      <c r="M71" s="215" t="s">
        <v>54</v>
      </c>
      <c r="N71" s="164" t="s">
        <v>228</v>
      </c>
      <c r="O71" s="171">
        <v>1735</v>
      </c>
      <c r="P71" s="68">
        <v>2</v>
      </c>
      <c r="Q71" s="99">
        <f t="shared" si="6"/>
        <v>17350</v>
      </c>
      <c r="R71" s="99">
        <f t="shared" si="7"/>
        <v>34700</v>
      </c>
      <c r="S71" s="99">
        <f t="shared" si="8"/>
        <v>52050</v>
      </c>
    </row>
    <row r="72" spans="1:19" ht="15.75" x14ac:dyDescent="0.25">
      <c r="A72" s="216" t="s">
        <v>180</v>
      </c>
      <c r="B72" s="135" t="s">
        <v>229</v>
      </c>
      <c r="C72" s="207" t="s">
        <v>230</v>
      </c>
      <c r="D72" s="175" t="s">
        <v>231</v>
      </c>
      <c r="E72" s="139">
        <v>3</v>
      </c>
      <c r="F72" s="68" t="s">
        <v>26</v>
      </c>
      <c r="G72" s="13" t="s">
        <v>26</v>
      </c>
      <c r="H72" s="18" t="s">
        <v>26</v>
      </c>
      <c r="I72" s="22"/>
      <c r="J72" s="55" t="s">
        <v>27</v>
      </c>
      <c r="K72" s="201">
        <v>46132</v>
      </c>
      <c r="L72" s="202">
        <v>46134</v>
      </c>
      <c r="M72" s="207" t="s">
        <v>54</v>
      </c>
      <c r="N72" s="192"/>
      <c r="O72" s="171">
        <v>2427</v>
      </c>
      <c r="P72" s="68">
        <v>3</v>
      </c>
      <c r="Q72" s="99">
        <v>24270</v>
      </c>
      <c r="R72" s="99">
        <v>48540</v>
      </c>
      <c r="S72" s="99">
        <v>72810</v>
      </c>
    </row>
    <row r="73" spans="1:19" ht="15.75" x14ac:dyDescent="0.25">
      <c r="A73" s="164" t="s">
        <v>163</v>
      </c>
      <c r="B73" s="197"/>
      <c r="C73" s="197"/>
      <c r="D73" s="182"/>
      <c r="E73" s="68"/>
      <c r="F73" s="13">
        <v>12</v>
      </c>
      <c r="G73" s="13">
        <v>14</v>
      </c>
      <c r="H73" s="18" t="s">
        <v>162</v>
      </c>
      <c r="I73" s="18" t="s">
        <v>232</v>
      </c>
      <c r="J73" s="55"/>
      <c r="K73" s="201"/>
      <c r="L73" s="202"/>
      <c r="M73" s="197"/>
      <c r="N73" s="164"/>
      <c r="O73" s="171" t="s">
        <v>91</v>
      </c>
      <c r="P73" s="68"/>
      <c r="Q73" s="99">
        <f>SUM(Q51:Q72)</f>
        <v>319430</v>
      </c>
      <c r="R73" s="99">
        <f>SUM(R51:R72)</f>
        <v>638860</v>
      </c>
      <c r="S73" s="99">
        <f>SUM(S51:S72)</f>
        <v>958290</v>
      </c>
    </row>
    <row r="74" spans="1:19" ht="15.75" x14ac:dyDescent="0.25">
      <c r="A74" s="166" t="s">
        <v>233</v>
      </c>
      <c r="B74" s="166"/>
      <c r="C74" s="166" t="s">
        <v>234</v>
      </c>
      <c r="D74" s="166" t="s">
        <v>3</v>
      </c>
      <c r="E74" s="96" t="s">
        <v>4</v>
      </c>
      <c r="F74" s="21">
        <v>11</v>
      </c>
      <c r="G74" s="114" t="s">
        <v>235</v>
      </c>
      <c r="H74" s="114" t="s">
        <v>236</v>
      </c>
      <c r="I74" s="114" t="s">
        <v>237</v>
      </c>
      <c r="J74" s="217" t="s">
        <v>238</v>
      </c>
      <c r="K74" s="201"/>
      <c r="L74" s="201"/>
      <c r="M74" s="166"/>
      <c r="N74" s="197"/>
      <c r="O74" s="96"/>
      <c r="P74" s="21"/>
      <c r="Q74" s="166"/>
      <c r="R74" s="166"/>
      <c r="S74" s="166"/>
    </row>
    <row r="75" spans="1:19" ht="15.75" x14ac:dyDescent="0.25">
      <c r="A75" s="168" t="s">
        <v>239</v>
      </c>
      <c r="B75" s="136" t="s">
        <v>139</v>
      </c>
      <c r="C75" s="168" t="s">
        <v>140</v>
      </c>
      <c r="D75" s="168" t="s">
        <v>141</v>
      </c>
      <c r="E75" s="68">
        <v>2</v>
      </c>
      <c r="F75" s="136" t="s">
        <v>26</v>
      </c>
      <c r="G75" s="136" t="s">
        <v>26</v>
      </c>
      <c r="H75" s="136"/>
      <c r="I75" s="136"/>
      <c r="J75" s="59">
        <v>1</v>
      </c>
      <c r="K75" s="117">
        <v>46153</v>
      </c>
      <c r="L75" s="117">
        <v>46154</v>
      </c>
      <c r="M75" s="168" t="s">
        <v>240</v>
      </c>
      <c r="N75" s="197"/>
      <c r="O75" s="171">
        <v>1735</v>
      </c>
      <c r="P75" s="68">
        <v>2</v>
      </c>
      <c r="Q75" s="99">
        <f>(O75*10)</f>
        <v>17350</v>
      </c>
      <c r="R75" s="99">
        <f>(O75*20)</f>
        <v>34700</v>
      </c>
      <c r="S75" s="99">
        <f>(O75*30)</f>
        <v>52050</v>
      </c>
    </row>
    <row r="76" spans="1:19" ht="15.75" x14ac:dyDescent="0.25">
      <c r="A76" s="168" t="s">
        <v>239</v>
      </c>
      <c r="B76" s="28" t="s">
        <v>143</v>
      </c>
      <c r="C76" s="164" t="s">
        <v>144</v>
      </c>
      <c r="D76" s="168" t="s">
        <v>141</v>
      </c>
      <c r="E76" s="68">
        <v>2</v>
      </c>
      <c r="F76" s="136"/>
      <c r="G76" s="136"/>
      <c r="H76" s="136" t="s">
        <v>26</v>
      </c>
      <c r="I76" s="136" t="s">
        <v>26</v>
      </c>
      <c r="J76" s="59">
        <v>1</v>
      </c>
      <c r="K76" s="117">
        <v>46155</v>
      </c>
      <c r="L76" s="117">
        <v>46156</v>
      </c>
      <c r="M76" s="168" t="s">
        <v>215</v>
      </c>
      <c r="N76" s="218" t="s">
        <v>145</v>
      </c>
      <c r="O76" s="171">
        <v>1735</v>
      </c>
      <c r="P76" s="68">
        <v>2</v>
      </c>
      <c r="Q76" s="99">
        <f>(O76*10)</f>
        <v>17350</v>
      </c>
      <c r="R76" s="99">
        <f>(O76*20)</f>
        <v>34700</v>
      </c>
      <c r="S76" s="99">
        <f>(O76*30)</f>
        <v>52050</v>
      </c>
    </row>
    <row r="77" spans="1:19" ht="15.75" x14ac:dyDescent="0.25">
      <c r="A77" s="168" t="s">
        <v>239</v>
      </c>
      <c r="B77" s="60" t="s">
        <v>98</v>
      </c>
      <c r="C77" s="168" t="s">
        <v>99</v>
      </c>
      <c r="D77" s="168" t="s">
        <v>100</v>
      </c>
      <c r="E77" s="68">
        <v>1</v>
      </c>
      <c r="F77" s="136"/>
      <c r="G77" s="136"/>
      <c r="H77" s="136"/>
      <c r="I77" s="136" t="s">
        <v>26</v>
      </c>
      <c r="J77" s="59">
        <v>2</v>
      </c>
      <c r="K77" s="117">
        <v>46156</v>
      </c>
      <c r="L77" s="117">
        <v>46156</v>
      </c>
      <c r="M77" s="168" t="s">
        <v>54</v>
      </c>
      <c r="N77" s="218" t="s">
        <v>241</v>
      </c>
      <c r="O77" s="171">
        <v>881</v>
      </c>
      <c r="P77" s="68">
        <v>1</v>
      </c>
      <c r="Q77" s="99">
        <f>(O77*10)</f>
        <v>8810</v>
      </c>
      <c r="R77" s="99">
        <f>(O77*20)</f>
        <v>17620</v>
      </c>
      <c r="S77" s="99">
        <f>(O77*30)</f>
        <v>26430</v>
      </c>
    </row>
    <row r="78" spans="1:19" ht="15.75" x14ac:dyDescent="0.25">
      <c r="A78" s="164" t="s">
        <v>239</v>
      </c>
      <c r="B78" s="60" t="s">
        <v>103</v>
      </c>
      <c r="C78" s="164" t="s">
        <v>104</v>
      </c>
      <c r="D78" s="164" t="s">
        <v>100</v>
      </c>
      <c r="E78" s="13">
        <v>3</v>
      </c>
      <c r="F78" s="136" t="s">
        <v>26</v>
      </c>
      <c r="G78" s="136" t="s">
        <v>26</v>
      </c>
      <c r="H78" s="136" t="s">
        <v>26</v>
      </c>
      <c r="I78" s="136"/>
      <c r="J78" s="59">
        <v>2</v>
      </c>
      <c r="K78" s="117">
        <v>46153</v>
      </c>
      <c r="L78" s="117">
        <v>46155</v>
      </c>
      <c r="M78" s="164" t="s">
        <v>240</v>
      </c>
      <c r="N78" s="218" t="s">
        <v>242</v>
      </c>
      <c r="O78" s="171">
        <v>2427</v>
      </c>
      <c r="P78" s="13">
        <v>3</v>
      </c>
      <c r="Q78" s="99">
        <f>(O78*10)</f>
        <v>24270</v>
      </c>
      <c r="R78" s="99">
        <f>(O78*20)</f>
        <v>48540</v>
      </c>
      <c r="S78" s="99">
        <f>(O78*30)</f>
        <v>72810</v>
      </c>
    </row>
    <row r="79" spans="1:19" ht="15.75" x14ac:dyDescent="0.25">
      <c r="A79" s="168" t="s">
        <v>239</v>
      </c>
      <c r="B79" s="92" t="s">
        <v>243</v>
      </c>
      <c r="C79" s="164" t="s">
        <v>244</v>
      </c>
      <c r="D79" s="164" t="s">
        <v>154</v>
      </c>
      <c r="E79" s="13">
        <v>2</v>
      </c>
      <c r="F79" s="136" t="s">
        <v>26</v>
      </c>
      <c r="G79" s="136" t="s">
        <v>26</v>
      </c>
      <c r="H79" s="136"/>
      <c r="I79" s="136"/>
      <c r="J79" s="59">
        <v>3</v>
      </c>
      <c r="K79" s="117">
        <v>46153</v>
      </c>
      <c r="L79" s="117">
        <v>46154</v>
      </c>
      <c r="M79" s="168" t="s">
        <v>54</v>
      </c>
      <c r="N79" s="218"/>
      <c r="O79" s="171">
        <v>1735</v>
      </c>
      <c r="P79" s="13">
        <v>2</v>
      </c>
      <c r="Q79" s="99">
        <f t="shared" ref="Q79:Q85" si="9">(O79*10)</f>
        <v>17350</v>
      </c>
      <c r="R79" s="99">
        <f t="shared" ref="R79:R85" si="10">(O79*20)</f>
        <v>34700</v>
      </c>
      <c r="S79" s="99">
        <f t="shared" ref="S79:S85" si="11">(O79*30)</f>
        <v>52050</v>
      </c>
    </row>
    <row r="80" spans="1:19" ht="15.75" x14ac:dyDescent="0.25">
      <c r="A80" s="168" t="s">
        <v>239</v>
      </c>
      <c r="B80" s="136" t="s">
        <v>152</v>
      </c>
      <c r="C80" s="168" t="s">
        <v>245</v>
      </c>
      <c r="D80" s="168" t="s">
        <v>154</v>
      </c>
      <c r="E80" s="68">
        <v>2</v>
      </c>
      <c r="F80" s="136"/>
      <c r="G80" s="136"/>
      <c r="H80" s="136" t="s">
        <v>26</v>
      </c>
      <c r="I80" s="136" t="s">
        <v>26</v>
      </c>
      <c r="J80" s="59">
        <v>3</v>
      </c>
      <c r="K80" s="117">
        <v>46155</v>
      </c>
      <c r="L80" s="117">
        <v>46156</v>
      </c>
      <c r="M80" s="168" t="s">
        <v>47</v>
      </c>
      <c r="N80" s="218"/>
      <c r="O80" s="171">
        <v>1735</v>
      </c>
      <c r="P80" s="68">
        <v>2</v>
      </c>
      <c r="Q80" s="99">
        <f t="shared" si="9"/>
        <v>17350</v>
      </c>
      <c r="R80" s="99">
        <f t="shared" si="10"/>
        <v>34700</v>
      </c>
      <c r="S80" s="99">
        <f t="shared" si="11"/>
        <v>52050</v>
      </c>
    </row>
    <row r="81" spans="1:19" ht="15.75" x14ac:dyDescent="0.25">
      <c r="A81" s="168" t="s">
        <v>239</v>
      </c>
      <c r="B81" s="136" t="s">
        <v>111</v>
      </c>
      <c r="C81" s="168" t="s">
        <v>112</v>
      </c>
      <c r="D81" s="164" t="s">
        <v>113</v>
      </c>
      <c r="E81" s="13">
        <v>2</v>
      </c>
      <c r="F81" s="136" t="s">
        <v>26</v>
      </c>
      <c r="G81" s="136" t="s">
        <v>26</v>
      </c>
      <c r="H81" s="137"/>
      <c r="I81" s="137"/>
      <c r="J81" s="59">
        <v>4</v>
      </c>
      <c r="K81" s="117">
        <v>46153</v>
      </c>
      <c r="L81" s="117">
        <v>46154</v>
      </c>
      <c r="M81" s="168" t="s">
        <v>105</v>
      </c>
      <c r="N81" s="196" t="s">
        <v>246</v>
      </c>
      <c r="O81" s="171">
        <v>1735</v>
      </c>
      <c r="P81" s="13">
        <v>2</v>
      </c>
      <c r="Q81" s="99">
        <f t="shared" si="9"/>
        <v>17350</v>
      </c>
      <c r="R81" s="99">
        <f t="shared" si="10"/>
        <v>34700</v>
      </c>
      <c r="S81" s="99">
        <f t="shared" si="11"/>
        <v>52050</v>
      </c>
    </row>
    <row r="82" spans="1:19" ht="15.75" x14ac:dyDescent="0.25">
      <c r="A82" s="168" t="s">
        <v>247</v>
      </c>
      <c r="B82" s="136"/>
      <c r="C82" s="168"/>
      <c r="D82" s="164"/>
      <c r="E82" s="13"/>
      <c r="F82" s="136"/>
      <c r="G82" s="136"/>
      <c r="H82" s="137"/>
      <c r="I82" s="137"/>
      <c r="J82" s="59">
        <v>4</v>
      </c>
      <c r="K82" s="117"/>
      <c r="L82" s="117"/>
      <c r="M82" s="168"/>
      <c r="N82" s="196"/>
      <c r="O82" s="171"/>
      <c r="P82" s="13"/>
      <c r="Q82" s="99"/>
      <c r="R82" s="99"/>
      <c r="S82" s="99"/>
    </row>
    <row r="83" spans="1:19" ht="15.75" x14ac:dyDescent="0.25">
      <c r="A83" s="168" t="s">
        <v>239</v>
      </c>
      <c r="B83" s="136" t="s">
        <v>248</v>
      </c>
      <c r="C83" s="168" t="s">
        <v>249</v>
      </c>
      <c r="D83" s="168" t="s">
        <v>250</v>
      </c>
      <c r="E83" s="68">
        <v>2</v>
      </c>
      <c r="F83" s="136" t="s">
        <v>26</v>
      </c>
      <c r="G83" s="136" t="s">
        <v>26</v>
      </c>
      <c r="H83" s="136"/>
      <c r="I83" s="136"/>
      <c r="J83" s="59">
        <v>5</v>
      </c>
      <c r="K83" s="117">
        <v>46153</v>
      </c>
      <c r="L83" s="117">
        <v>46154</v>
      </c>
      <c r="M83" s="168" t="s">
        <v>30</v>
      </c>
      <c r="N83" s="196"/>
      <c r="O83" s="171">
        <v>1735</v>
      </c>
      <c r="P83" s="68">
        <v>2</v>
      </c>
      <c r="Q83" s="99">
        <f t="shared" si="9"/>
        <v>17350</v>
      </c>
      <c r="R83" s="99">
        <f t="shared" si="10"/>
        <v>34700</v>
      </c>
      <c r="S83" s="99">
        <f t="shared" si="11"/>
        <v>52050</v>
      </c>
    </row>
    <row r="84" spans="1:19" ht="15.75" x14ac:dyDescent="0.25">
      <c r="A84" s="168" t="s">
        <v>239</v>
      </c>
      <c r="B84" s="136" t="s">
        <v>251</v>
      </c>
      <c r="C84" s="168" t="s">
        <v>252</v>
      </c>
      <c r="D84" s="168" t="s">
        <v>250</v>
      </c>
      <c r="E84" s="219" t="s">
        <v>253</v>
      </c>
      <c r="F84" s="136"/>
      <c r="G84" s="136"/>
      <c r="H84" s="136" t="s">
        <v>254</v>
      </c>
      <c r="I84" s="136"/>
      <c r="J84" s="59">
        <v>5</v>
      </c>
      <c r="K84" s="117">
        <v>46155</v>
      </c>
      <c r="L84" s="117">
        <v>46155</v>
      </c>
      <c r="M84" s="168" t="s">
        <v>30</v>
      </c>
      <c r="N84" s="218" t="s">
        <v>255</v>
      </c>
      <c r="O84" s="171">
        <v>518</v>
      </c>
      <c r="P84" s="68" t="s">
        <v>85</v>
      </c>
      <c r="Q84" s="99">
        <v>5180</v>
      </c>
      <c r="R84" s="99">
        <v>10360</v>
      </c>
      <c r="S84" s="99">
        <v>15540</v>
      </c>
    </row>
    <row r="85" spans="1:19" ht="15.75" x14ac:dyDescent="0.25">
      <c r="A85" s="164" t="s">
        <v>239</v>
      </c>
      <c r="B85" s="13" t="s">
        <v>256</v>
      </c>
      <c r="C85" s="164" t="s">
        <v>257</v>
      </c>
      <c r="D85" s="164" t="s">
        <v>76</v>
      </c>
      <c r="E85" s="13">
        <v>3</v>
      </c>
      <c r="F85" s="91" t="s">
        <v>26</v>
      </c>
      <c r="G85" s="91" t="s">
        <v>26</v>
      </c>
      <c r="H85" s="91" t="s">
        <v>26</v>
      </c>
      <c r="I85" s="94"/>
      <c r="J85" s="59">
        <v>6</v>
      </c>
      <c r="K85" s="117">
        <v>46153</v>
      </c>
      <c r="L85" s="117">
        <v>46155</v>
      </c>
      <c r="M85" s="168" t="s">
        <v>105</v>
      </c>
      <c r="N85" s="218"/>
      <c r="O85" s="171">
        <v>3228</v>
      </c>
      <c r="P85" s="13">
        <v>4</v>
      </c>
      <c r="Q85" s="99">
        <f t="shared" si="9"/>
        <v>32280</v>
      </c>
      <c r="R85" s="99">
        <f t="shared" si="10"/>
        <v>64560</v>
      </c>
      <c r="S85" s="99">
        <f t="shared" si="11"/>
        <v>96840</v>
      </c>
    </row>
    <row r="86" spans="1:19" ht="15.75" x14ac:dyDescent="0.25">
      <c r="A86" s="168" t="s">
        <v>239</v>
      </c>
      <c r="B86" s="60" t="s">
        <v>258</v>
      </c>
      <c r="C86" s="168" t="s">
        <v>259</v>
      </c>
      <c r="D86" s="168" t="s">
        <v>148</v>
      </c>
      <c r="E86" s="68">
        <v>1</v>
      </c>
      <c r="F86" s="168"/>
      <c r="G86" s="136"/>
      <c r="H86" s="136"/>
      <c r="I86" s="136" t="s">
        <v>26</v>
      </c>
      <c r="J86" s="59">
        <v>6</v>
      </c>
      <c r="K86" s="130">
        <v>46156</v>
      </c>
      <c r="L86" s="130">
        <v>46156</v>
      </c>
      <c r="M86" s="168" t="s">
        <v>70</v>
      </c>
      <c r="N86" s="218" t="s">
        <v>260</v>
      </c>
      <c r="O86" s="171">
        <v>881</v>
      </c>
      <c r="P86" s="68">
        <v>1</v>
      </c>
      <c r="Q86" s="99">
        <f t="shared" ref="Q86:Q91" si="12">(O86*10)</f>
        <v>8810</v>
      </c>
      <c r="R86" s="99">
        <f>(O87*10)</f>
        <v>24270</v>
      </c>
      <c r="S86" s="99">
        <f>(O87*10)</f>
        <v>24270</v>
      </c>
    </row>
    <row r="87" spans="1:19" ht="15.75" x14ac:dyDescent="0.25">
      <c r="A87" s="168" t="s">
        <v>239</v>
      </c>
      <c r="B87" s="60" t="s">
        <v>261</v>
      </c>
      <c r="C87" s="168" t="s">
        <v>262</v>
      </c>
      <c r="D87" s="34" t="s">
        <v>148</v>
      </c>
      <c r="E87" s="68">
        <v>3</v>
      </c>
      <c r="F87" s="136" t="s">
        <v>26</v>
      </c>
      <c r="G87" s="136" t="s">
        <v>26</v>
      </c>
      <c r="H87" s="136" t="s">
        <v>26</v>
      </c>
      <c r="I87" s="168"/>
      <c r="J87" s="55">
        <v>7</v>
      </c>
      <c r="K87" s="130">
        <v>46153</v>
      </c>
      <c r="L87" s="130">
        <v>46155</v>
      </c>
      <c r="M87" s="168" t="s">
        <v>150</v>
      </c>
      <c r="N87" s="218" t="s">
        <v>260</v>
      </c>
      <c r="O87" s="171">
        <v>2427</v>
      </c>
      <c r="P87" s="68">
        <v>3</v>
      </c>
      <c r="Q87" s="99">
        <f t="shared" si="12"/>
        <v>24270</v>
      </c>
      <c r="R87" s="99">
        <f>(O87*20)</f>
        <v>48540</v>
      </c>
      <c r="S87" s="99">
        <f>(O87*30)</f>
        <v>72810</v>
      </c>
    </row>
    <row r="88" spans="1:19" ht="15.75" x14ac:dyDescent="0.25">
      <c r="A88" s="168" t="s">
        <v>239</v>
      </c>
      <c r="B88" s="136" t="s">
        <v>263</v>
      </c>
      <c r="C88" s="168" t="s">
        <v>264</v>
      </c>
      <c r="D88" s="164" t="s">
        <v>231</v>
      </c>
      <c r="E88" s="68">
        <v>2</v>
      </c>
      <c r="F88" s="136" t="s">
        <v>26</v>
      </c>
      <c r="G88" s="136" t="s">
        <v>26</v>
      </c>
      <c r="H88" s="136"/>
      <c r="I88" s="136"/>
      <c r="J88" s="59">
        <v>8</v>
      </c>
      <c r="K88" s="130">
        <v>46153</v>
      </c>
      <c r="L88" s="130">
        <v>46154</v>
      </c>
      <c r="M88" s="168" t="s">
        <v>265</v>
      </c>
      <c r="N88" s="218" t="s">
        <v>266</v>
      </c>
      <c r="O88" s="171">
        <v>1735</v>
      </c>
      <c r="P88" s="68">
        <v>2</v>
      </c>
      <c r="Q88" s="99">
        <f t="shared" si="12"/>
        <v>17350</v>
      </c>
      <c r="R88" s="99">
        <f>(O88*20)</f>
        <v>34700</v>
      </c>
      <c r="S88" s="99">
        <f>(O88*30)</f>
        <v>52050</v>
      </c>
    </row>
    <row r="89" spans="1:19" ht="15.75" x14ac:dyDescent="0.25">
      <c r="A89" s="168" t="s">
        <v>239</v>
      </c>
      <c r="B89" s="136" t="s">
        <v>23</v>
      </c>
      <c r="C89" s="197" t="s">
        <v>267</v>
      </c>
      <c r="D89" s="168" t="s">
        <v>25</v>
      </c>
      <c r="E89" s="68">
        <v>2</v>
      </c>
      <c r="F89" s="136"/>
      <c r="G89" s="136"/>
      <c r="H89" s="136" t="s">
        <v>26</v>
      </c>
      <c r="I89" s="136" t="s">
        <v>26</v>
      </c>
      <c r="J89" s="59">
        <v>8</v>
      </c>
      <c r="K89" s="130">
        <v>46155</v>
      </c>
      <c r="L89" s="130">
        <v>46156</v>
      </c>
      <c r="M89" s="168" t="s">
        <v>268</v>
      </c>
      <c r="N89" s="218"/>
      <c r="O89" s="171">
        <v>1735</v>
      </c>
      <c r="P89" s="68">
        <v>2</v>
      </c>
      <c r="Q89" s="99">
        <f t="shared" si="12"/>
        <v>17350</v>
      </c>
      <c r="R89" s="99">
        <f>(O89*20)</f>
        <v>34700</v>
      </c>
      <c r="S89" s="99">
        <f>(O89*30)</f>
        <v>52050</v>
      </c>
    </row>
    <row r="90" spans="1:19" ht="15.75" x14ac:dyDescent="0.25">
      <c r="A90" s="172" t="s">
        <v>239</v>
      </c>
      <c r="B90" s="213" t="s">
        <v>64</v>
      </c>
      <c r="C90" s="177" t="s">
        <v>269</v>
      </c>
      <c r="D90" s="177" t="s">
        <v>66</v>
      </c>
      <c r="E90" s="68">
        <v>2</v>
      </c>
      <c r="F90" s="136"/>
      <c r="G90" s="136"/>
      <c r="H90" s="136" t="s">
        <v>26</v>
      </c>
      <c r="I90" s="136" t="s">
        <v>26</v>
      </c>
      <c r="J90" s="59">
        <v>9</v>
      </c>
      <c r="K90" s="130">
        <v>46155</v>
      </c>
      <c r="L90" s="130">
        <v>46156</v>
      </c>
      <c r="M90" s="177" t="s">
        <v>60</v>
      </c>
      <c r="N90" s="218"/>
      <c r="O90" s="171">
        <v>1735</v>
      </c>
      <c r="P90" s="68">
        <v>2</v>
      </c>
      <c r="Q90" s="99">
        <f t="shared" si="12"/>
        <v>17350</v>
      </c>
      <c r="R90" s="99">
        <f>(O90*20)</f>
        <v>34700</v>
      </c>
      <c r="S90" s="99">
        <f>(O90*30)</f>
        <v>52050</v>
      </c>
    </row>
    <row r="91" spans="1:19" ht="15.75" x14ac:dyDescent="0.25">
      <c r="A91" s="210" t="s">
        <v>239</v>
      </c>
      <c r="B91" s="138" t="s">
        <v>270</v>
      </c>
      <c r="C91" s="175" t="s">
        <v>271</v>
      </c>
      <c r="D91" s="210" t="s">
        <v>38</v>
      </c>
      <c r="E91" s="139">
        <v>2</v>
      </c>
      <c r="F91" s="136" t="s">
        <v>26</v>
      </c>
      <c r="G91" s="136" t="s">
        <v>26</v>
      </c>
      <c r="H91" s="136"/>
      <c r="I91" s="136"/>
      <c r="J91" s="59">
        <v>9</v>
      </c>
      <c r="K91" s="130">
        <v>46153</v>
      </c>
      <c r="L91" s="130">
        <v>46154</v>
      </c>
      <c r="M91" s="210" t="s">
        <v>70</v>
      </c>
      <c r="N91" s="218"/>
      <c r="O91" s="171">
        <v>1735</v>
      </c>
      <c r="P91" s="139">
        <v>2</v>
      </c>
      <c r="Q91" s="99">
        <f t="shared" si="12"/>
        <v>17350</v>
      </c>
      <c r="R91" s="99">
        <f>(O91*20)</f>
        <v>34700</v>
      </c>
      <c r="S91" s="99">
        <f>(O91*30)</f>
        <v>52050</v>
      </c>
    </row>
    <row r="92" spans="1:19" ht="15.75" x14ac:dyDescent="0.25">
      <c r="A92" s="220"/>
      <c r="B92" s="220"/>
      <c r="C92" s="198"/>
      <c r="D92" s="198"/>
      <c r="E92" s="221"/>
      <c r="F92" s="140"/>
      <c r="G92" s="140"/>
      <c r="H92" s="140"/>
      <c r="I92" s="140"/>
      <c r="J92" s="61"/>
      <c r="K92" s="62"/>
      <c r="L92" s="63"/>
      <c r="M92" s="197"/>
      <c r="N92" s="222"/>
      <c r="O92" s="171" t="s">
        <v>91</v>
      </c>
      <c r="P92" s="38"/>
      <c r="Q92" s="99">
        <f>SUM(Q75:Q91)</f>
        <v>277120</v>
      </c>
      <c r="R92" s="99">
        <f>SUM(R75:R91)</f>
        <v>560890</v>
      </c>
      <c r="S92" s="99">
        <f>SUM(S75:S91)</f>
        <v>829200</v>
      </c>
    </row>
    <row r="93" spans="1:19" ht="15.75" x14ac:dyDescent="0.25">
      <c r="A93" s="210" t="s">
        <v>272</v>
      </c>
      <c r="B93" s="210"/>
      <c r="C93" s="175"/>
      <c r="D93" s="210"/>
      <c r="E93" s="139"/>
      <c r="F93" s="136">
        <v>10</v>
      </c>
      <c r="G93" s="136">
        <v>10</v>
      </c>
      <c r="H93" s="136">
        <v>8</v>
      </c>
      <c r="I93" s="136">
        <v>6</v>
      </c>
      <c r="J93" s="59"/>
      <c r="K93" s="62"/>
      <c r="L93" s="63"/>
      <c r="M93" s="210"/>
      <c r="N93" s="222"/>
      <c r="O93" s="223"/>
      <c r="P93" s="13"/>
      <c r="Q93" s="168"/>
      <c r="R93" s="168"/>
      <c r="S93" s="168"/>
    </row>
    <row r="94" spans="1:19" ht="15.75" x14ac:dyDescent="0.25">
      <c r="A94" s="166" t="s">
        <v>273</v>
      </c>
      <c r="B94" s="203" t="s">
        <v>1</v>
      </c>
      <c r="C94" s="203" t="s">
        <v>274</v>
      </c>
      <c r="D94" s="203" t="s">
        <v>3</v>
      </c>
      <c r="E94" s="127" t="s">
        <v>15</v>
      </c>
      <c r="F94" s="21" t="s">
        <v>275</v>
      </c>
      <c r="G94" s="21" t="s">
        <v>276</v>
      </c>
      <c r="H94" s="114"/>
      <c r="I94" s="114"/>
      <c r="J94" s="126" t="s">
        <v>277</v>
      </c>
      <c r="K94" s="21"/>
      <c r="L94" s="21"/>
      <c r="M94" s="127" t="s">
        <v>12</v>
      </c>
      <c r="N94" s="185"/>
      <c r="O94" s="194"/>
      <c r="P94" s="21"/>
      <c r="Q94" s="166"/>
      <c r="R94" s="166"/>
      <c r="S94" s="166"/>
    </row>
    <row r="95" spans="1:19" ht="15.75" x14ac:dyDescent="0.25">
      <c r="A95" s="188" t="s">
        <v>278</v>
      </c>
      <c r="B95" s="54"/>
      <c r="C95" s="175"/>
      <c r="D95" s="177" t="s">
        <v>170</v>
      </c>
      <c r="E95" s="45">
        <v>2</v>
      </c>
      <c r="F95" s="128" t="s">
        <v>26</v>
      </c>
      <c r="G95" s="129" t="s">
        <v>26</v>
      </c>
      <c r="H95" s="114"/>
      <c r="I95" s="132"/>
      <c r="J95" s="48" t="s">
        <v>101</v>
      </c>
      <c r="K95" s="128">
        <v>46181</v>
      </c>
      <c r="L95" s="129">
        <v>46182</v>
      </c>
      <c r="M95" s="175"/>
      <c r="N95" s="200"/>
      <c r="O95" s="171">
        <v>1735</v>
      </c>
      <c r="P95" s="13">
        <v>2</v>
      </c>
      <c r="Q95" s="99">
        <f>(O95*10)</f>
        <v>17350</v>
      </c>
      <c r="R95" s="99">
        <f>(O95*20)</f>
        <v>34700</v>
      </c>
      <c r="S95" s="99">
        <f>(O95*30)</f>
        <v>52050</v>
      </c>
    </row>
    <row r="96" spans="1:19" ht="15.75" x14ac:dyDescent="0.25">
      <c r="A96" s="205" t="s">
        <v>278</v>
      </c>
      <c r="B96" s="204"/>
      <c r="C96" s="204"/>
      <c r="D96" s="204" t="s">
        <v>170</v>
      </c>
      <c r="E96" s="141">
        <v>2</v>
      </c>
      <c r="F96" s="142" t="s">
        <v>26</v>
      </c>
      <c r="G96" s="129" t="s">
        <v>26</v>
      </c>
      <c r="H96" s="114"/>
      <c r="I96" s="132"/>
      <c r="J96" s="48" t="s">
        <v>109</v>
      </c>
      <c r="K96" s="128">
        <v>46181</v>
      </c>
      <c r="L96" s="129">
        <v>46182</v>
      </c>
      <c r="M96" s="175"/>
      <c r="N96" s="200"/>
      <c r="O96" s="171">
        <v>1735</v>
      </c>
      <c r="P96" s="13">
        <v>2</v>
      </c>
      <c r="Q96" s="99">
        <f>(O96*10)</f>
        <v>17350</v>
      </c>
      <c r="R96" s="99">
        <f>(O96*20)</f>
        <v>34700</v>
      </c>
      <c r="S96" s="99">
        <f>(O96*30)</f>
        <v>52050</v>
      </c>
    </row>
    <row r="97" spans="1:19" ht="15.75" x14ac:dyDescent="0.25">
      <c r="A97" s="210" t="s">
        <v>163</v>
      </c>
      <c r="B97" s="210"/>
      <c r="C97" s="175"/>
      <c r="D97" s="210"/>
      <c r="E97" s="143"/>
      <c r="F97" s="138">
        <v>2</v>
      </c>
      <c r="G97" s="144">
        <v>2</v>
      </c>
      <c r="H97" s="114"/>
      <c r="I97" s="132"/>
      <c r="J97" s="64"/>
      <c r="K97" s="65"/>
      <c r="L97" s="63"/>
      <c r="M97" s="220"/>
      <c r="N97" s="222"/>
      <c r="O97" s="171" t="s">
        <v>91</v>
      </c>
      <c r="P97" s="38"/>
      <c r="Q97" s="99">
        <f>SUM(Q95:Q96)</f>
        <v>34700</v>
      </c>
      <c r="R97" s="99">
        <f>SUM(R95:R96)</f>
        <v>69400</v>
      </c>
      <c r="S97" s="99">
        <f>SUM(S95:S96)</f>
        <v>104100</v>
      </c>
    </row>
    <row r="98" spans="1:19" ht="15.75" x14ac:dyDescent="0.25">
      <c r="A98" s="209" t="s">
        <v>279</v>
      </c>
      <c r="B98" s="209" t="s">
        <v>1</v>
      </c>
      <c r="C98" s="209" t="s">
        <v>280</v>
      </c>
      <c r="D98" s="209" t="s">
        <v>3</v>
      </c>
      <c r="E98" s="145"/>
      <c r="F98" s="145">
        <v>15</v>
      </c>
      <c r="G98" s="114" t="s">
        <v>281</v>
      </c>
      <c r="H98" s="114" t="s">
        <v>282</v>
      </c>
      <c r="I98" s="114" t="s">
        <v>95</v>
      </c>
      <c r="J98" s="224" t="s">
        <v>283</v>
      </c>
      <c r="K98" s="225"/>
      <c r="L98" s="226"/>
      <c r="M98" s="209" t="s">
        <v>12</v>
      </c>
      <c r="N98" s="185"/>
      <c r="O98" s="194"/>
      <c r="P98" s="21"/>
      <c r="Q98" s="166"/>
      <c r="R98" s="166"/>
      <c r="S98" s="166"/>
    </row>
    <row r="99" spans="1:19" ht="15.75" x14ac:dyDescent="0.25">
      <c r="A99" s="169" t="s">
        <v>284</v>
      </c>
      <c r="B99" s="66" t="s">
        <v>121</v>
      </c>
      <c r="C99" s="164" t="s">
        <v>122</v>
      </c>
      <c r="D99" s="164" t="s">
        <v>50</v>
      </c>
      <c r="E99" s="13">
        <v>4</v>
      </c>
      <c r="F99" s="84" t="s">
        <v>26</v>
      </c>
      <c r="G99" s="84" t="s">
        <v>26</v>
      </c>
      <c r="H99" s="84" t="s">
        <v>26</v>
      </c>
      <c r="I99" s="84" t="s">
        <v>26</v>
      </c>
      <c r="J99" s="78" t="s">
        <v>101</v>
      </c>
      <c r="K99" s="225">
        <v>46188</v>
      </c>
      <c r="L99" s="226">
        <v>46191</v>
      </c>
      <c r="M99" s="169" t="s">
        <v>60</v>
      </c>
      <c r="N99" s="175"/>
      <c r="O99" s="171">
        <v>3228</v>
      </c>
      <c r="P99" s="13">
        <v>4</v>
      </c>
      <c r="Q99" s="99">
        <f t="shared" ref="Q99:Q104" si="13">(O99*10)</f>
        <v>32280</v>
      </c>
      <c r="R99" s="99">
        <f t="shared" ref="R99:R104" si="14">(O99*20)</f>
        <v>64560</v>
      </c>
      <c r="S99" s="99">
        <f t="shared" ref="S99:S104" si="15">(O99*30)</f>
        <v>96840</v>
      </c>
    </row>
    <row r="100" spans="1:19" ht="15.75" x14ac:dyDescent="0.25">
      <c r="A100" s="169" t="s">
        <v>284</v>
      </c>
      <c r="B100" s="140" t="s">
        <v>160</v>
      </c>
      <c r="C100" s="164" t="s">
        <v>161</v>
      </c>
      <c r="D100" s="164" t="s">
        <v>79</v>
      </c>
      <c r="E100" s="13">
        <v>4</v>
      </c>
      <c r="F100" s="84" t="s">
        <v>26</v>
      </c>
      <c r="G100" s="84" t="s">
        <v>26</v>
      </c>
      <c r="H100" s="84" t="s">
        <v>26</v>
      </c>
      <c r="I100" s="84" t="s">
        <v>26</v>
      </c>
      <c r="J100" s="78" t="s">
        <v>109</v>
      </c>
      <c r="K100" s="225">
        <v>46188</v>
      </c>
      <c r="L100" s="226">
        <v>46191</v>
      </c>
      <c r="M100" s="169" t="s">
        <v>285</v>
      </c>
      <c r="N100" s="175"/>
      <c r="O100" s="171">
        <v>3228</v>
      </c>
      <c r="P100" s="13">
        <v>4</v>
      </c>
      <c r="Q100" s="99">
        <f t="shared" si="13"/>
        <v>32280</v>
      </c>
      <c r="R100" s="99">
        <f t="shared" si="14"/>
        <v>64560</v>
      </c>
      <c r="S100" s="99">
        <f t="shared" si="15"/>
        <v>96840</v>
      </c>
    </row>
    <row r="101" spans="1:19" ht="15.75" x14ac:dyDescent="0.25">
      <c r="A101" s="169" t="s">
        <v>284</v>
      </c>
      <c r="B101" s="140" t="s">
        <v>139</v>
      </c>
      <c r="C101" s="164" t="s">
        <v>140</v>
      </c>
      <c r="D101" s="164" t="s">
        <v>141</v>
      </c>
      <c r="E101" s="13">
        <v>2</v>
      </c>
      <c r="F101" s="84" t="s">
        <v>26</v>
      </c>
      <c r="G101" s="84" t="s">
        <v>26</v>
      </c>
      <c r="H101" s="84"/>
      <c r="I101" s="84"/>
      <c r="J101" s="78" t="s">
        <v>118</v>
      </c>
      <c r="K101" s="227">
        <v>46188</v>
      </c>
      <c r="L101" s="228">
        <v>46189</v>
      </c>
      <c r="M101" s="169" t="s">
        <v>54</v>
      </c>
      <c r="N101" s="175"/>
      <c r="O101" s="171">
        <v>1735</v>
      </c>
      <c r="P101" s="13">
        <v>2</v>
      </c>
      <c r="Q101" s="99">
        <f t="shared" si="13"/>
        <v>17350</v>
      </c>
      <c r="R101" s="99">
        <f t="shared" si="14"/>
        <v>34700</v>
      </c>
      <c r="S101" s="99">
        <f t="shared" si="15"/>
        <v>52050</v>
      </c>
    </row>
    <row r="102" spans="1:19" ht="15.75" x14ac:dyDescent="0.25">
      <c r="A102" s="169" t="s">
        <v>284</v>
      </c>
      <c r="B102" s="66" t="s">
        <v>143</v>
      </c>
      <c r="C102" s="169" t="s">
        <v>144</v>
      </c>
      <c r="D102" s="164" t="s">
        <v>141</v>
      </c>
      <c r="E102" s="13">
        <v>2</v>
      </c>
      <c r="F102" s="84"/>
      <c r="G102" s="84"/>
      <c r="H102" s="84" t="s">
        <v>26</v>
      </c>
      <c r="I102" s="84" t="s">
        <v>26</v>
      </c>
      <c r="J102" s="78" t="s">
        <v>118</v>
      </c>
      <c r="K102" s="117">
        <v>46190</v>
      </c>
      <c r="L102" s="118">
        <v>46191</v>
      </c>
      <c r="M102" s="215" t="s">
        <v>286</v>
      </c>
      <c r="N102" s="175" t="s">
        <v>145</v>
      </c>
      <c r="O102" s="171">
        <v>1735</v>
      </c>
      <c r="P102" s="13">
        <v>2</v>
      </c>
      <c r="Q102" s="99">
        <f t="shared" si="13"/>
        <v>17350</v>
      </c>
      <c r="R102" s="99">
        <f t="shared" si="14"/>
        <v>34700</v>
      </c>
      <c r="S102" s="99">
        <f t="shared" si="15"/>
        <v>52050</v>
      </c>
    </row>
    <row r="103" spans="1:19" ht="15.75" x14ac:dyDescent="0.25">
      <c r="A103" s="169" t="s">
        <v>284</v>
      </c>
      <c r="B103" s="70" t="s">
        <v>98</v>
      </c>
      <c r="C103" s="164" t="s">
        <v>99</v>
      </c>
      <c r="D103" s="164" t="s">
        <v>100</v>
      </c>
      <c r="E103" s="13">
        <v>1</v>
      </c>
      <c r="F103" s="84" t="s">
        <v>26</v>
      </c>
      <c r="G103" s="84"/>
      <c r="H103" s="84"/>
      <c r="I103" s="84"/>
      <c r="J103" s="78" t="s">
        <v>123</v>
      </c>
      <c r="K103" s="201">
        <v>46188</v>
      </c>
      <c r="L103" s="202">
        <v>46188</v>
      </c>
      <c r="M103" s="207" t="s">
        <v>51</v>
      </c>
      <c r="N103" s="200"/>
      <c r="O103" s="171">
        <v>881</v>
      </c>
      <c r="P103" s="13">
        <v>1</v>
      </c>
      <c r="Q103" s="99">
        <f t="shared" si="13"/>
        <v>8810</v>
      </c>
      <c r="R103" s="99">
        <f t="shared" si="14"/>
        <v>17620</v>
      </c>
      <c r="S103" s="99">
        <f t="shared" si="15"/>
        <v>26430</v>
      </c>
    </row>
    <row r="104" spans="1:19" ht="15.75" x14ac:dyDescent="0.25">
      <c r="A104" s="169" t="s">
        <v>284</v>
      </c>
      <c r="B104" s="70" t="s">
        <v>103</v>
      </c>
      <c r="C104" s="177" t="s">
        <v>104</v>
      </c>
      <c r="D104" s="164" t="s">
        <v>100</v>
      </c>
      <c r="E104" s="13">
        <v>3</v>
      </c>
      <c r="F104" s="84"/>
      <c r="G104" s="84" t="s">
        <v>26</v>
      </c>
      <c r="H104" s="84" t="s">
        <v>26</v>
      </c>
      <c r="I104" s="84" t="s">
        <v>26</v>
      </c>
      <c r="J104" s="78" t="s">
        <v>123</v>
      </c>
      <c r="K104" s="201">
        <v>46189</v>
      </c>
      <c r="L104" s="202">
        <v>46191</v>
      </c>
      <c r="M104" s="207" t="s">
        <v>287</v>
      </c>
      <c r="N104" s="200"/>
      <c r="O104" s="171">
        <v>2427</v>
      </c>
      <c r="P104" s="13">
        <v>3</v>
      </c>
      <c r="Q104" s="99">
        <f t="shared" si="13"/>
        <v>24270</v>
      </c>
      <c r="R104" s="99">
        <f t="shared" si="14"/>
        <v>48540</v>
      </c>
      <c r="S104" s="99">
        <f t="shared" si="15"/>
        <v>72810</v>
      </c>
    </row>
    <row r="105" spans="1:19" ht="15.75" x14ac:dyDescent="0.25">
      <c r="A105" s="169" t="s">
        <v>284</v>
      </c>
      <c r="B105" s="67" t="s">
        <v>216</v>
      </c>
      <c r="C105" s="229" t="s">
        <v>217</v>
      </c>
      <c r="D105" s="192" t="s">
        <v>214</v>
      </c>
      <c r="E105" s="13">
        <v>1</v>
      </c>
      <c r="F105" s="84" t="s">
        <v>26</v>
      </c>
      <c r="G105" s="84"/>
      <c r="H105" s="84"/>
      <c r="I105" s="84"/>
      <c r="J105" s="78" t="s">
        <v>127</v>
      </c>
      <c r="K105" s="225">
        <v>46189</v>
      </c>
      <c r="L105" s="226">
        <v>46189</v>
      </c>
      <c r="M105" s="207" t="s">
        <v>286</v>
      </c>
      <c r="N105" s="200"/>
      <c r="O105" s="171">
        <v>1735</v>
      </c>
      <c r="P105" s="13">
        <v>2</v>
      </c>
      <c r="Q105" s="99">
        <f t="shared" ref="Q105:Q113" si="16">(O105*10)</f>
        <v>17350</v>
      </c>
      <c r="R105" s="99">
        <f t="shared" ref="R105:R113" si="17">(O105*20)</f>
        <v>34700</v>
      </c>
      <c r="S105" s="99">
        <f t="shared" ref="S105:S113" si="18">(O105*30)</f>
        <v>52050</v>
      </c>
    </row>
    <row r="106" spans="1:19" ht="15.75" x14ac:dyDescent="0.25">
      <c r="A106" s="169" t="s">
        <v>284</v>
      </c>
      <c r="B106" s="68" t="s">
        <v>212</v>
      </c>
      <c r="C106" s="229" t="s">
        <v>213</v>
      </c>
      <c r="D106" s="192" t="s">
        <v>214</v>
      </c>
      <c r="E106" s="13">
        <v>2</v>
      </c>
      <c r="F106" s="84"/>
      <c r="G106" s="84"/>
      <c r="H106" s="84" t="s">
        <v>26</v>
      </c>
      <c r="I106" s="84" t="s">
        <v>26</v>
      </c>
      <c r="J106" s="72" t="s">
        <v>127</v>
      </c>
      <c r="K106" s="201">
        <v>46190</v>
      </c>
      <c r="L106" s="202">
        <v>46191</v>
      </c>
      <c r="M106" s="207" t="s">
        <v>286</v>
      </c>
      <c r="N106" s="200"/>
      <c r="O106" s="171">
        <v>1735</v>
      </c>
      <c r="P106" s="13">
        <v>2</v>
      </c>
      <c r="Q106" s="99">
        <f t="shared" si="16"/>
        <v>17350</v>
      </c>
      <c r="R106" s="99">
        <f t="shared" si="17"/>
        <v>34700</v>
      </c>
      <c r="S106" s="99">
        <f t="shared" si="18"/>
        <v>52050</v>
      </c>
    </row>
    <row r="107" spans="1:19" ht="15.75" x14ac:dyDescent="0.25">
      <c r="A107" s="169" t="s">
        <v>284</v>
      </c>
      <c r="B107" s="140" t="s">
        <v>288</v>
      </c>
      <c r="C107" s="176" t="s">
        <v>289</v>
      </c>
      <c r="D107" s="164" t="s">
        <v>290</v>
      </c>
      <c r="E107" s="13">
        <v>2</v>
      </c>
      <c r="F107" s="84" t="s">
        <v>26</v>
      </c>
      <c r="G107" s="84" t="s">
        <v>26</v>
      </c>
      <c r="H107" s="84"/>
      <c r="I107" s="84"/>
      <c r="J107" s="72" t="s">
        <v>134</v>
      </c>
      <c r="K107" s="225">
        <v>46188</v>
      </c>
      <c r="L107" s="226">
        <v>46189</v>
      </c>
      <c r="M107" s="230" t="s">
        <v>291</v>
      </c>
      <c r="N107" s="175" t="s">
        <v>292</v>
      </c>
      <c r="O107" s="171">
        <v>1735</v>
      </c>
      <c r="P107" s="13">
        <v>2</v>
      </c>
      <c r="Q107" s="99">
        <f t="shared" si="16"/>
        <v>17350</v>
      </c>
      <c r="R107" s="99">
        <f t="shared" si="17"/>
        <v>34700</v>
      </c>
      <c r="S107" s="99">
        <f t="shared" si="18"/>
        <v>52050</v>
      </c>
    </row>
    <row r="108" spans="1:19" ht="15.75" x14ac:dyDescent="0.25">
      <c r="A108" s="169" t="s">
        <v>284</v>
      </c>
      <c r="B108" s="140" t="s">
        <v>111</v>
      </c>
      <c r="C108" s="164" t="s">
        <v>112</v>
      </c>
      <c r="D108" s="168" t="s">
        <v>113</v>
      </c>
      <c r="E108" s="68">
        <v>2</v>
      </c>
      <c r="F108" s="84"/>
      <c r="G108" s="84"/>
      <c r="H108" s="84" t="s">
        <v>26</v>
      </c>
      <c r="I108" s="84" t="s">
        <v>26</v>
      </c>
      <c r="J108" s="72" t="s">
        <v>134</v>
      </c>
      <c r="K108" s="201">
        <v>46190</v>
      </c>
      <c r="L108" s="202">
        <v>46191</v>
      </c>
      <c r="M108" s="169" t="s">
        <v>285</v>
      </c>
      <c r="N108" s="229" t="s">
        <v>293</v>
      </c>
      <c r="O108" s="171">
        <v>1735</v>
      </c>
      <c r="P108" s="68">
        <v>2</v>
      </c>
      <c r="Q108" s="99">
        <f t="shared" si="16"/>
        <v>17350</v>
      </c>
      <c r="R108" s="99">
        <f t="shared" si="17"/>
        <v>34700</v>
      </c>
      <c r="S108" s="99">
        <f t="shared" si="18"/>
        <v>52050</v>
      </c>
    </row>
    <row r="109" spans="1:19" ht="15.75" x14ac:dyDescent="0.25">
      <c r="A109" s="169" t="s">
        <v>284</v>
      </c>
      <c r="B109" s="69" t="s">
        <v>294</v>
      </c>
      <c r="C109" s="168" t="s">
        <v>295</v>
      </c>
      <c r="D109" s="168" t="s">
        <v>76</v>
      </c>
      <c r="E109" s="68">
        <v>4</v>
      </c>
      <c r="F109" s="84" t="s">
        <v>26</v>
      </c>
      <c r="G109" s="84" t="s">
        <v>26</v>
      </c>
      <c r="H109" s="84" t="s">
        <v>26</v>
      </c>
      <c r="I109" s="84" t="s">
        <v>26</v>
      </c>
      <c r="J109" s="72" t="s">
        <v>142</v>
      </c>
      <c r="K109" s="225">
        <v>46188</v>
      </c>
      <c r="L109" s="226">
        <v>46191</v>
      </c>
      <c r="M109" s="169" t="s">
        <v>296</v>
      </c>
      <c r="N109" s="185"/>
      <c r="O109" s="171">
        <v>3228</v>
      </c>
      <c r="P109" s="68">
        <v>4</v>
      </c>
      <c r="Q109" s="99">
        <f t="shared" si="16"/>
        <v>32280</v>
      </c>
      <c r="R109" s="99">
        <f t="shared" si="17"/>
        <v>64560</v>
      </c>
      <c r="S109" s="99">
        <f t="shared" si="18"/>
        <v>96840</v>
      </c>
    </row>
    <row r="110" spans="1:19" ht="15.75" x14ac:dyDescent="0.25">
      <c r="A110" s="169" t="s">
        <v>284</v>
      </c>
      <c r="B110" s="140" t="s">
        <v>115</v>
      </c>
      <c r="C110" s="164" t="s">
        <v>116</v>
      </c>
      <c r="D110" s="164" t="s">
        <v>297</v>
      </c>
      <c r="E110" s="13">
        <v>2</v>
      </c>
      <c r="F110" s="84" t="s">
        <v>26</v>
      </c>
      <c r="G110" s="84" t="s">
        <v>26</v>
      </c>
      <c r="H110" s="84"/>
      <c r="I110" s="84"/>
      <c r="J110" s="72" t="s">
        <v>149</v>
      </c>
      <c r="K110" s="225">
        <v>46188</v>
      </c>
      <c r="L110" s="226">
        <v>46189</v>
      </c>
      <c r="M110" s="169" t="s">
        <v>41</v>
      </c>
      <c r="N110" s="175"/>
      <c r="O110" s="171">
        <v>1735</v>
      </c>
      <c r="P110" s="13">
        <v>2</v>
      </c>
      <c r="Q110" s="99">
        <f t="shared" si="16"/>
        <v>17350</v>
      </c>
      <c r="R110" s="99">
        <f t="shared" si="17"/>
        <v>34700</v>
      </c>
      <c r="S110" s="99">
        <f t="shared" si="18"/>
        <v>52050</v>
      </c>
    </row>
    <row r="111" spans="1:19" ht="15.75" x14ac:dyDescent="0.25">
      <c r="A111" s="169" t="s">
        <v>284</v>
      </c>
      <c r="B111" s="140" t="s">
        <v>119</v>
      </c>
      <c r="C111" s="164" t="s">
        <v>120</v>
      </c>
      <c r="D111" s="164" t="s">
        <v>297</v>
      </c>
      <c r="E111" s="13">
        <v>2</v>
      </c>
      <c r="F111" s="84"/>
      <c r="G111" s="84"/>
      <c r="H111" s="84" t="s">
        <v>26</v>
      </c>
      <c r="I111" s="84" t="s">
        <v>26</v>
      </c>
      <c r="J111" s="72" t="s">
        <v>149</v>
      </c>
      <c r="K111" s="201">
        <v>46190</v>
      </c>
      <c r="L111" s="202">
        <v>46191</v>
      </c>
      <c r="M111" s="169" t="s">
        <v>41</v>
      </c>
      <c r="N111" s="175"/>
      <c r="O111" s="171">
        <v>1735</v>
      </c>
      <c r="P111" s="13">
        <v>2</v>
      </c>
      <c r="Q111" s="99">
        <f t="shared" si="16"/>
        <v>17350</v>
      </c>
      <c r="R111" s="99">
        <f t="shared" si="17"/>
        <v>34700</v>
      </c>
      <c r="S111" s="99">
        <f t="shared" si="18"/>
        <v>52050</v>
      </c>
    </row>
    <row r="112" spans="1:19" ht="15.75" x14ac:dyDescent="0.25">
      <c r="A112" s="169" t="s">
        <v>284</v>
      </c>
      <c r="B112" s="146" t="s">
        <v>298</v>
      </c>
      <c r="C112" s="54" t="s">
        <v>299</v>
      </c>
      <c r="D112" s="54" t="s">
        <v>300</v>
      </c>
      <c r="E112" s="39">
        <v>2</v>
      </c>
      <c r="F112" s="84" t="s">
        <v>26</v>
      </c>
      <c r="G112" s="84" t="s">
        <v>26</v>
      </c>
      <c r="H112" s="84"/>
      <c r="I112" s="84"/>
      <c r="J112" s="72" t="s">
        <v>158</v>
      </c>
      <c r="K112" s="225">
        <v>46188</v>
      </c>
      <c r="L112" s="226">
        <v>46189</v>
      </c>
      <c r="M112" s="215" t="s">
        <v>41</v>
      </c>
      <c r="N112" s="175"/>
      <c r="O112" s="171">
        <v>1735</v>
      </c>
      <c r="P112" s="39">
        <v>2</v>
      </c>
      <c r="Q112" s="99">
        <f t="shared" si="16"/>
        <v>17350</v>
      </c>
      <c r="R112" s="99">
        <f t="shared" si="17"/>
        <v>34700</v>
      </c>
      <c r="S112" s="99">
        <f t="shared" si="18"/>
        <v>52050</v>
      </c>
    </row>
    <row r="113" spans="1:19" ht="15.75" x14ac:dyDescent="0.25">
      <c r="A113" s="169" t="s">
        <v>284</v>
      </c>
      <c r="B113" s="140" t="s">
        <v>298</v>
      </c>
      <c r="C113" s="56" t="s">
        <v>301</v>
      </c>
      <c r="D113" s="56" t="s">
        <v>300</v>
      </c>
      <c r="E113" s="13">
        <v>2</v>
      </c>
      <c r="F113" s="84"/>
      <c r="G113" s="84"/>
      <c r="H113" s="84" t="s">
        <v>26</v>
      </c>
      <c r="I113" s="84" t="s">
        <v>26</v>
      </c>
      <c r="J113" s="72" t="s">
        <v>158</v>
      </c>
      <c r="K113" s="225">
        <v>46190</v>
      </c>
      <c r="L113" s="226">
        <v>46191</v>
      </c>
      <c r="M113" s="169" t="s">
        <v>285</v>
      </c>
      <c r="N113" s="175"/>
      <c r="O113" s="171">
        <v>1735</v>
      </c>
      <c r="P113" s="13">
        <v>2</v>
      </c>
      <c r="Q113" s="99">
        <f t="shared" si="16"/>
        <v>17350</v>
      </c>
      <c r="R113" s="99">
        <f t="shared" si="17"/>
        <v>34700</v>
      </c>
      <c r="S113" s="99">
        <f t="shared" si="18"/>
        <v>52050</v>
      </c>
    </row>
    <row r="114" spans="1:19" ht="15.75" x14ac:dyDescent="0.25">
      <c r="A114" s="169" t="s">
        <v>284</v>
      </c>
      <c r="B114" s="70" t="s">
        <v>261</v>
      </c>
      <c r="C114" s="164" t="s">
        <v>262</v>
      </c>
      <c r="D114" s="56" t="s">
        <v>148</v>
      </c>
      <c r="E114" s="13">
        <v>3</v>
      </c>
      <c r="F114" s="84" t="s">
        <v>26</v>
      </c>
      <c r="G114" s="84" t="s">
        <v>26</v>
      </c>
      <c r="H114" s="84" t="s">
        <v>26</v>
      </c>
      <c r="I114" s="84"/>
      <c r="J114" s="72" t="s">
        <v>162</v>
      </c>
      <c r="K114" s="201">
        <v>46188</v>
      </c>
      <c r="L114" s="202">
        <v>46190</v>
      </c>
      <c r="M114" s="169" t="s">
        <v>285</v>
      </c>
      <c r="N114" s="218" t="s">
        <v>260</v>
      </c>
      <c r="O114" s="171">
        <v>2427</v>
      </c>
      <c r="P114" s="13">
        <v>3</v>
      </c>
      <c r="Q114" s="99">
        <f>(O114*10)</f>
        <v>24270</v>
      </c>
      <c r="R114" s="99">
        <f>(O114*20)</f>
        <v>48540</v>
      </c>
      <c r="S114" s="99">
        <f>(O114*30)</f>
        <v>72810</v>
      </c>
    </row>
    <row r="115" spans="1:19" ht="15.75" x14ac:dyDescent="0.25">
      <c r="A115" s="169" t="s">
        <v>284</v>
      </c>
      <c r="B115" s="70" t="s">
        <v>258</v>
      </c>
      <c r="C115" s="60" t="s">
        <v>259</v>
      </c>
      <c r="D115" s="60" t="s">
        <v>148</v>
      </c>
      <c r="E115" s="68">
        <v>1</v>
      </c>
      <c r="F115" s="84"/>
      <c r="G115" s="84"/>
      <c r="H115" s="84"/>
      <c r="I115" s="84" t="s">
        <v>26</v>
      </c>
      <c r="J115" s="72" t="s">
        <v>162</v>
      </c>
      <c r="K115" s="225">
        <v>46191</v>
      </c>
      <c r="L115" s="225">
        <v>46191</v>
      </c>
      <c r="M115" s="169" t="s">
        <v>70</v>
      </c>
      <c r="N115" s="218" t="s">
        <v>260</v>
      </c>
      <c r="O115" s="171">
        <v>881</v>
      </c>
      <c r="P115" s="68">
        <v>1</v>
      </c>
      <c r="Q115" s="99">
        <f>(O115*10)</f>
        <v>8810</v>
      </c>
      <c r="R115" s="99">
        <f>(O115*20)</f>
        <v>17620</v>
      </c>
      <c r="S115" s="99">
        <f>(O115*30)</f>
        <v>26430</v>
      </c>
    </row>
    <row r="116" spans="1:19" ht="15.75" x14ac:dyDescent="0.25">
      <c r="A116" s="169" t="s">
        <v>284</v>
      </c>
      <c r="B116" s="136" t="s">
        <v>197</v>
      </c>
      <c r="C116" s="168" t="s">
        <v>198</v>
      </c>
      <c r="D116" s="168" t="s">
        <v>199</v>
      </c>
      <c r="E116" s="68">
        <v>1</v>
      </c>
      <c r="F116" s="13" t="s">
        <v>26</v>
      </c>
      <c r="G116" s="13"/>
      <c r="H116" s="71"/>
      <c r="I116" s="71"/>
      <c r="J116" s="72" t="s">
        <v>232</v>
      </c>
      <c r="K116" s="225">
        <v>46188</v>
      </c>
      <c r="L116" s="225">
        <v>46188</v>
      </c>
      <c r="M116" s="164" t="s">
        <v>30</v>
      </c>
      <c r="N116" s="175"/>
      <c r="O116" s="171">
        <v>881</v>
      </c>
      <c r="P116" s="68">
        <v>1</v>
      </c>
      <c r="Q116" s="99">
        <f t="shared" ref="Q116:Q121" si="19">(O116*10)</f>
        <v>8810</v>
      </c>
      <c r="R116" s="99">
        <f t="shared" ref="R116:R121" si="20">(O116*20)</f>
        <v>17620</v>
      </c>
      <c r="S116" s="99">
        <f t="shared" ref="S116:S121" si="21">(O116*30)</f>
        <v>26430</v>
      </c>
    </row>
    <row r="117" spans="1:19" ht="15.75" x14ac:dyDescent="0.25">
      <c r="A117" s="169" t="s">
        <v>284</v>
      </c>
      <c r="B117" s="136" t="s">
        <v>200</v>
      </c>
      <c r="C117" s="56" t="s">
        <v>201</v>
      </c>
      <c r="D117" s="168" t="s">
        <v>199</v>
      </c>
      <c r="E117" s="68">
        <v>1</v>
      </c>
      <c r="F117" s="13"/>
      <c r="G117" s="13" t="s">
        <v>26</v>
      </c>
      <c r="H117" s="71"/>
      <c r="I117" s="71"/>
      <c r="J117" s="72" t="s">
        <v>232</v>
      </c>
      <c r="K117" s="226">
        <v>46189</v>
      </c>
      <c r="L117" s="226">
        <v>46189</v>
      </c>
      <c r="M117" s="164" t="s">
        <v>41</v>
      </c>
      <c r="N117" s="175"/>
      <c r="O117" s="171">
        <v>881</v>
      </c>
      <c r="P117" s="68">
        <v>1</v>
      </c>
      <c r="Q117" s="99">
        <f t="shared" si="19"/>
        <v>8810</v>
      </c>
      <c r="R117" s="99">
        <f t="shared" si="20"/>
        <v>17620</v>
      </c>
      <c r="S117" s="99">
        <f t="shared" si="21"/>
        <v>26430</v>
      </c>
    </row>
    <row r="118" spans="1:19" ht="15.75" x14ac:dyDescent="0.25">
      <c r="A118" s="169" t="s">
        <v>284</v>
      </c>
      <c r="B118" s="91" t="s">
        <v>248</v>
      </c>
      <c r="C118" s="164" t="s">
        <v>249</v>
      </c>
      <c r="D118" s="169" t="s">
        <v>302</v>
      </c>
      <c r="E118" s="38">
        <v>2</v>
      </c>
      <c r="F118" s="71"/>
      <c r="G118" s="71"/>
      <c r="H118" s="71" t="s">
        <v>26</v>
      </c>
      <c r="I118" s="71" t="s">
        <v>26</v>
      </c>
      <c r="J118" s="72" t="s">
        <v>232</v>
      </c>
      <c r="K118" s="225">
        <v>46190</v>
      </c>
      <c r="L118" s="226">
        <v>46191</v>
      </c>
      <c r="M118" s="164" t="s">
        <v>285</v>
      </c>
      <c r="N118" s="175"/>
      <c r="O118" s="171">
        <v>1735</v>
      </c>
      <c r="P118" s="38">
        <v>2</v>
      </c>
      <c r="Q118" s="99">
        <f t="shared" si="19"/>
        <v>17350</v>
      </c>
      <c r="R118" s="99">
        <f t="shared" si="20"/>
        <v>34700</v>
      </c>
      <c r="S118" s="99">
        <f t="shared" si="21"/>
        <v>52050</v>
      </c>
    </row>
    <row r="119" spans="1:19" ht="15.75" x14ac:dyDescent="0.25">
      <c r="A119" s="169" t="s">
        <v>284</v>
      </c>
      <c r="B119" s="140" t="s">
        <v>303</v>
      </c>
      <c r="C119" s="169" t="s">
        <v>304</v>
      </c>
      <c r="D119" s="169" t="s">
        <v>305</v>
      </c>
      <c r="E119" s="38">
        <v>2</v>
      </c>
      <c r="F119" s="71" t="s">
        <v>26</v>
      </c>
      <c r="G119" s="71" t="s">
        <v>26</v>
      </c>
      <c r="H119" s="71"/>
      <c r="I119" s="71"/>
      <c r="J119" s="72" t="s">
        <v>235</v>
      </c>
      <c r="K119" s="225">
        <v>46188</v>
      </c>
      <c r="L119" s="226">
        <v>46189</v>
      </c>
      <c r="M119" s="169" t="s">
        <v>105</v>
      </c>
      <c r="N119" s="175"/>
      <c r="O119" s="171">
        <v>1735</v>
      </c>
      <c r="P119" s="38">
        <v>2</v>
      </c>
      <c r="Q119" s="99">
        <f t="shared" si="19"/>
        <v>17350</v>
      </c>
      <c r="R119" s="99">
        <f t="shared" si="20"/>
        <v>34700</v>
      </c>
      <c r="S119" s="99">
        <f t="shared" si="21"/>
        <v>52050</v>
      </c>
    </row>
    <row r="120" spans="1:19" ht="15.75" x14ac:dyDescent="0.25">
      <c r="A120" s="169" t="s">
        <v>284</v>
      </c>
      <c r="B120" s="70" t="s">
        <v>306</v>
      </c>
      <c r="C120" s="169" t="s">
        <v>307</v>
      </c>
      <c r="D120" s="169" t="s">
        <v>308</v>
      </c>
      <c r="E120" s="38">
        <v>2</v>
      </c>
      <c r="F120" s="71"/>
      <c r="G120" s="71"/>
      <c r="H120" s="71" t="s">
        <v>26</v>
      </c>
      <c r="I120" s="71" t="s">
        <v>26</v>
      </c>
      <c r="J120" s="72" t="s">
        <v>235</v>
      </c>
      <c r="K120" s="225">
        <v>46190</v>
      </c>
      <c r="L120" s="226">
        <v>46191</v>
      </c>
      <c r="M120" s="169" t="s">
        <v>105</v>
      </c>
      <c r="N120" s="175"/>
      <c r="O120" s="171">
        <v>1735</v>
      </c>
      <c r="P120" s="38">
        <v>2</v>
      </c>
      <c r="Q120" s="99">
        <f t="shared" si="19"/>
        <v>17350</v>
      </c>
      <c r="R120" s="99">
        <f t="shared" si="20"/>
        <v>34700</v>
      </c>
      <c r="S120" s="99">
        <f t="shared" si="21"/>
        <v>52050</v>
      </c>
    </row>
    <row r="121" spans="1:19" ht="15.75" x14ac:dyDescent="0.25">
      <c r="A121" s="169" t="s">
        <v>284</v>
      </c>
      <c r="B121" s="140" t="s">
        <v>222</v>
      </c>
      <c r="C121" s="169" t="s">
        <v>223</v>
      </c>
      <c r="D121" s="169" t="s">
        <v>224</v>
      </c>
      <c r="E121" s="38">
        <v>2</v>
      </c>
      <c r="F121" s="71" t="s">
        <v>26</v>
      </c>
      <c r="G121" s="71" t="s">
        <v>26</v>
      </c>
      <c r="H121" s="71"/>
      <c r="I121" s="71"/>
      <c r="J121" s="72" t="s">
        <v>236</v>
      </c>
      <c r="K121" s="225">
        <v>46188</v>
      </c>
      <c r="L121" s="226">
        <v>46189</v>
      </c>
      <c r="M121" s="169" t="s">
        <v>30</v>
      </c>
      <c r="N121" s="175"/>
      <c r="O121" s="171">
        <v>1735</v>
      </c>
      <c r="P121" s="38">
        <v>2</v>
      </c>
      <c r="Q121" s="99">
        <f t="shared" si="19"/>
        <v>17350</v>
      </c>
      <c r="R121" s="99">
        <f t="shared" si="20"/>
        <v>34700</v>
      </c>
      <c r="S121" s="99">
        <f t="shared" si="21"/>
        <v>52050</v>
      </c>
    </row>
    <row r="122" spans="1:19" ht="15.75" x14ac:dyDescent="0.25">
      <c r="A122" s="169" t="s">
        <v>284</v>
      </c>
      <c r="B122" s="94" t="s">
        <v>247</v>
      </c>
      <c r="C122" s="211"/>
      <c r="D122" s="169"/>
      <c r="E122" s="38"/>
      <c r="F122" s="71"/>
      <c r="G122" s="71"/>
      <c r="H122" s="147" t="s">
        <v>26</v>
      </c>
      <c r="I122" s="147" t="s">
        <v>26</v>
      </c>
      <c r="J122" s="148" t="s">
        <v>236</v>
      </c>
      <c r="K122" s="225">
        <v>46190</v>
      </c>
      <c r="L122" s="226">
        <v>46191</v>
      </c>
      <c r="M122" s="169" t="s">
        <v>309</v>
      </c>
      <c r="N122" s="175"/>
      <c r="O122" s="171">
        <v>1735</v>
      </c>
      <c r="P122" s="38">
        <v>2</v>
      </c>
      <c r="Q122" s="99">
        <f>(O122*10)</f>
        <v>17350</v>
      </c>
      <c r="R122" s="99">
        <f>(O122*20)</f>
        <v>34700</v>
      </c>
      <c r="S122" s="99">
        <f>(O122*30)</f>
        <v>52050</v>
      </c>
    </row>
    <row r="123" spans="1:19" ht="15.75" x14ac:dyDescent="0.25">
      <c r="A123" s="169" t="s">
        <v>284</v>
      </c>
      <c r="B123" s="140" t="s">
        <v>310</v>
      </c>
      <c r="C123" s="169" t="s">
        <v>311</v>
      </c>
      <c r="D123" s="169" t="s">
        <v>154</v>
      </c>
      <c r="E123" s="38">
        <v>4</v>
      </c>
      <c r="F123" s="71" t="s">
        <v>26</v>
      </c>
      <c r="G123" s="71" t="s">
        <v>26</v>
      </c>
      <c r="H123" s="71" t="s">
        <v>26</v>
      </c>
      <c r="I123" s="71" t="s">
        <v>26</v>
      </c>
      <c r="J123" s="72" t="s">
        <v>237</v>
      </c>
      <c r="K123" s="225">
        <v>46188</v>
      </c>
      <c r="L123" s="225">
        <v>46191</v>
      </c>
      <c r="M123" s="169" t="s">
        <v>54</v>
      </c>
      <c r="N123" s="175"/>
      <c r="O123" s="171">
        <v>3228</v>
      </c>
      <c r="P123" s="38">
        <v>4</v>
      </c>
      <c r="Q123" s="99">
        <f>(O123*10)</f>
        <v>32280</v>
      </c>
      <c r="R123" s="99">
        <f>(O123*20)</f>
        <v>64560</v>
      </c>
      <c r="S123" s="99">
        <f>(O123*30)</f>
        <v>96840</v>
      </c>
    </row>
    <row r="124" spans="1:19" ht="15.75" x14ac:dyDescent="0.25">
      <c r="A124" s="169" t="s">
        <v>284</v>
      </c>
      <c r="B124" s="13" t="s">
        <v>86</v>
      </c>
      <c r="C124" s="37" t="s">
        <v>87</v>
      </c>
      <c r="D124" s="24" t="s">
        <v>88</v>
      </c>
      <c r="E124" s="13">
        <v>3</v>
      </c>
      <c r="F124" s="71" t="s">
        <v>26</v>
      </c>
      <c r="G124" s="71" t="s">
        <v>26</v>
      </c>
      <c r="H124" s="71" t="s">
        <v>26</v>
      </c>
      <c r="I124" s="71"/>
      <c r="J124" s="72" t="s">
        <v>312</v>
      </c>
      <c r="K124" s="225">
        <v>46188</v>
      </c>
      <c r="L124" s="225">
        <v>46190</v>
      </c>
      <c r="M124" s="30" t="s">
        <v>89</v>
      </c>
      <c r="N124" s="175" t="s">
        <v>313</v>
      </c>
      <c r="O124" s="171">
        <v>2427</v>
      </c>
      <c r="P124" s="13">
        <v>3</v>
      </c>
      <c r="Q124" s="99">
        <f>(O124*10)</f>
        <v>24270</v>
      </c>
      <c r="R124" s="99">
        <f>(O124*20)</f>
        <v>48540</v>
      </c>
      <c r="S124" s="99">
        <f>(O124*30)</f>
        <v>72810</v>
      </c>
    </row>
    <row r="125" spans="1:19" ht="15.75" x14ac:dyDescent="0.25">
      <c r="A125" s="169"/>
      <c r="B125" s="169"/>
      <c r="C125" s="169"/>
      <c r="D125" s="169"/>
      <c r="E125" s="38"/>
      <c r="F125" s="71"/>
      <c r="G125" s="71"/>
      <c r="H125" s="71"/>
      <c r="I125" s="71"/>
      <c r="J125" s="72"/>
      <c r="K125" s="201"/>
      <c r="L125" s="202"/>
      <c r="M125" s="169"/>
      <c r="N125" s="175"/>
      <c r="O125" s="174" t="s">
        <v>91</v>
      </c>
      <c r="P125" s="38"/>
      <c r="Q125" s="231">
        <f>SUM(Q99:Q124)</f>
        <v>497420</v>
      </c>
      <c r="R125" s="231">
        <f>SUM(R99:R124)</f>
        <v>994840</v>
      </c>
      <c r="S125" s="149">
        <f>SUM(S99:S124)</f>
        <v>1492260</v>
      </c>
    </row>
    <row r="126" spans="1:19" ht="15.75" x14ac:dyDescent="0.25">
      <c r="A126" s="169" t="s">
        <v>314</v>
      </c>
      <c r="B126" s="169"/>
      <c r="C126" s="169"/>
      <c r="D126" s="70"/>
      <c r="E126" s="38"/>
      <c r="F126" s="71"/>
      <c r="G126" s="71"/>
      <c r="H126" s="71"/>
      <c r="I126" s="71"/>
      <c r="J126" s="72"/>
      <c r="K126" s="201"/>
      <c r="L126" s="202"/>
      <c r="M126" s="169"/>
      <c r="N126" s="175"/>
      <c r="O126" s="232"/>
      <c r="P126" s="38"/>
      <c r="Q126" s="169"/>
      <c r="R126" s="169"/>
      <c r="S126" s="169"/>
    </row>
    <row r="127" spans="1:19" ht="15.75" x14ac:dyDescent="0.25">
      <c r="A127" s="166" t="s">
        <v>315</v>
      </c>
      <c r="B127" s="166"/>
      <c r="C127" s="166" t="s">
        <v>316</v>
      </c>
      <c r="D127" s="166" t="s">
        <v>3</v>
      </c>
      <c r="E127" s="21"/>
      <c r="F127" s="21">
        <v>20</v>
      </c>
      <c r="G127" s="21">
        <v>21</v>
      </c>
      <c r="H127" s="21">
        <v>22</v>
      </c>
      <c r="I127" s="21">
        <v>23</v>
      </c>
      <c r="J127" s="132" t="s">
        <v>317</v>
      </c>
      <c r="K127" s="233"/>
      <c r="L127" s="234"/>
      <c r="M127" s="166"/>
      <c r="N127" s="235"/>
      <c r="O127" s="236"/>
      <c r="P127" s="21"/>
      <c r="Q127" s="166"/>
      <c r="R127" s="166"/>
      <c r="S127" s="166"/>
    </row>
    <row r="128" spans="1:19" ht="15.75" x14ac:dyDescent="0.25">
      <c r="A128" s="164" t="s">
        <v>318</v>
      </c>
      <c r="B128" s="34" t="s">
        <v>80</v>
      </c>
      <c r="C128" s="164" t="s">
        <v>319</v>
      </c>
      <c r="D128" s="164" t="s">
        <v>82</v>
      </c>
      <c r="E128" s="237" t="s">
        <v>320</v>
      </c>
      <c r="F128" s="13" t="s">
        <v>321</v>
      </c>
      <c r="G128" s="13"/>
      <c r="H128" s="13"/>
      <c r="I128" s="13"/>
      <c r="J128" s="23" t="s">
        <v>27</v>
      </c>
      <c r="K128" s="201">
        <v>46223</v>
      </c>
      <c r="L128" s="201">
        <v>46223</v>
      </c>
      <c r="M128" s="164" t="s">
        <v>285</v>
      </c>
      <c r="N128" s="175"/>
      <c r="O128" s="171">
        <v>518</v>
      </c>
      <c r="P128" s="68" t="s">
        <v>85</v>
      </c>
      <c r="Q128" s="99">
        <f t="shared" ref="Q128:Q142" si="22">(O128*10)</f>
        <v>5180</v>
      </c>
      <c r="R128" s="99">
        <f t="shared" ref="R128:R142" si="23">(O128*20)</f>
        <v>10360</v>
      </c>
      <c r="S128" s="99">
        <f t="shared" ref="S128:S142" si="24">(O128*30)</f>
        <v>15540</v>
      </c>
    </row>
    <row r="129" spans="1:19" ht="15.75" x14ac:dyDescent="0.25">
      <c r="A129" s="164" t="s">
        <v>318</v>
      </c>
      <c r="B129" s="34" t="s">
        <v>202</v>
      </c>
      <c r="C129" s="168" t="s">
        <v>203</v>
      </c>
      <c r="D129" s="164" t="s">
        <v>204</v>
      </c>
      <c r="E129" s="13">
        <v>2</v>
      </c>
      <c r="F129" s="13" t="s">
        <v>26</v>
      </c>
      <c r="G129" s="13" t="s">
        <v>26</v>
      </c>
      <c r="H129" s="13"/>
      <c r="I129" s="13"/>
      <c r="J129" s="23" t="s">
        <v>27</v>
      </c>
      <c r="K129" s="201">
        <v>46223</v>
      </c>
      <c r="L129" s="202">
        <v>46224</v>
      </c>
      <c r="M129" s="164" t="s">
        <v>285</v>
      </c>
      <c r="N129" s="175"/>
      <c r="O129" s="171">
        <v>1735</v>
      </c>
      <c r="P129" s="13">
        <v>2</v>
      </c>
      <c r="Q129" s="99">
        <f t="shared" si="22"/>
        <v>17350</v>
      </c>
      <c r="R129" s="99">
        <f t="shared" si="23"/>
        <v>34700</v>
      </c>
      <c r="S129" s="99">
        <f t="shared" si="24"/>
        <v>52050</v>
      </c>
    </row>
    <row r="130" spans="1:19" ht="15.75" x14ac:dyDescent="0.25">
      <c r="A130" s="164" t="s">
        <v>318</v>
      </c>
      <c r="B130" s="34" t="s">
        <v>322</v>
      </c>
      <c r="C130" s="164" t="s">
        <v>323</v>
      </c>
      <c r="D130" s="164" t="s">
        <v>324</v>
      </c>
      <c r="E130" s="13">
        <v>1</v>
      </c>
      <c r="F130" s="13"/>
      <c r="G130" s="13"/>
      <c r="H130" s="13" t="s">
        <v>26</v>
      </c>
      <c r="I130" s="13"/>
      <c r="J130" s="23" t="s">
        <v>27</v>
      </c>
      <c r="K130" s="201">
        <v>46225</v>
      </c>
      <c r="L130" s="201">
        <v>46225</v>
      </c>
      <c r="M130" s="164" t="s">
        <v>325</v>
      </c>
      <c r="N130" s="175"/>
      <c r="O130" s="171">
        <v>881</v>
      </c>
      <c r="P130" s="13">
        <v>1</v>
      </c>
      <c r="Q130" s="99">
        <f t="shared" si="22"/>
        <v>8810</v>
      </c>
      <c r="R130" s="99">
        <f t="shared" si="23"/>
        <v>17620</v>
      </c>
      <c r="S130" s="99">
        <f t="shared" si="24"/>
        <v>26430</v>
      </c>
    </row>
    <row r="131" spans="1:19" ht="15.75" x14ac:dyDescent="0.25">
      <c r="A131" s="164" t="s">
        <v>318</v>
      </c>
      <c r="B131" s="34" t="s">
        <v>326</v>
      </c>
      <c r="C131" s="164" t="s">
        <v>327</v>
      </c>
      <c r="D131" s="164" t="s">
        <v>328</v>
      </c>
      <c r="E131" s="13">
        <v>2</v>
      </c>
      <c r="F131" s="13"/>
      <c r="G131" s="13"/>
      <c r="H131" s="13" t="s">
        <v>26</v>
      </c>
      <c r="I131" s="13" t="s">
        <v>26</v>
      </c>
      <c r="J131" s="23" t="s">
        <v>27</v>
      </c>
      <c r="K131" s="201">
        <v>46225</v>
      </c>
      <c r="L131" s="202">
        <v>46226</v>
      </c>
      <c r="M131" s="164" t="s">
        <v>60</v>
      </c>
      <c r="N131" s="175"/>
      <c r="O131" s="171">
        <v>1735</v>
      </c>
      <c r="P131" s="13">
        <v>2</v>
      </c>
      <c r="Q131" s="99">
        <f t="shared" si="22"/>
        <v>17350</v>
      </c>
      <c r="R131" s="99">
        <f t="shared" si="23"/>
        <v>34700</v>
      </c>
      <c r="S131" s="99">
        <f t="shared" si="24"/>
        <v>52050</v>
      </c>
    </row>
    <row r="132" spans="1:19" ht="15.75" x14ac:dyDescent="0.25">
      <c r="A132" s="164" t="s">
        <v>318</v>
      </c>
      <c r="B132" s="34" t="s">
        <v>263</v>
      </c>
      <c r="C132" s="197" t="s">
        <v>264</v>
      </c>
      <c r="D132" s="164" t="s">
        <v>231</v>
      </c>
      <c r="E132" s="13">
        <v>2</v>
      </c>
      <c r="F132" s="13"/>
      <c r="G132" s="13" t="s">
        <v>26</v>
      </c>
      <c r="H132" s="13" t="s">
        <v>26</v>
      </c>
      <c r="I132" s="13"/>
      <c r="J132" s="23" t="s">
        <v>27</v>
      </c>
      <c r="K132" s="201">
        <v>46224</v>
      </c>
      <c r="L132" s="202">
        <v>46225</v>
      </c>
      <c r="M132" s="197" t="s">
        <v>329</v>
      </c>
      <c r="N132" s="175"/>
      <c r="O132" s="171">
        <v>1735</v>
      </c>
      <c r="P132" s="13">
        <v>2</v>
      </c>
      <c r="Q132" s="99">
        <f t="shared" si="22"/>
        <v>17350</v>
      </c>
      <c r="R132" s="99">
        <f t="shared" si="23"/>
        <v>34700</v>
      </c>
      <c r="S132" s="99">
        <f t="shared" si="24"/>
        <v>52050</v>
      </c>
    </row>
    <row r="133" spans="1:19" ht="15.75" x14ac:dyDescent="0.25">
      <c r="A133" s="164" t="s">
        <v>318</v>
      </c>
      <c r="B133" s="24" t="s">
        <v>71</v>
      </c>
      <c r="C133" s="164" t="s">
        <v>72</v>
      </c>
      <c r="D133" s="164" t="s">
        <v>73</v>
      </c>
      <c r="E133" s="13">
        <v>2</v>
      </c>
      <c r="F133" s="13" t="s">
        <v>26</v>
      </c>
      <c r="G133" s="13" t="s">
        <v>26</v>
      </c>
      <c r="H133" s="13"/>
      <c r="I133" s="13"/>
      <c r="J133" s="23" t="s">
        <v>27</v>
      </c>
      <c r="K133" s="201">
        <v>46223</v>
      </c>
      <c r="L133" s="202">
        <v>46224</v>
      </c>
      <c r="M133" s="164" t="s">
        <v>89</v>
      </c>
      <c r="N133" s="175"/>
      <c r="O133" s="171">
        <v>1735</v>
      </c>
      <c r="P133" s="13">
        <v>2</v>
      </c>
      <c r="Q133" s="99">
        <f t="shared" si="22"/>
        <v>17350</v>
      </c>
      <c r="R133" s="99">
        <f t="shared" si="23"/>
        <v>34700</v>
      </c>
      <c r="S133" s="99">
        <f t="shared" si="24"/>
        <v>52050</v>
      </c>
    </row>
    <row r="134" spans="1:19" ht="15.75" x14ac:dyDescent="0.25">
      <c r="A134" s="164" t="s">
        <v>318</v>
      </c>
      <c r="B134" s="34" t="s">
        <v>288</v>
      </c>
      <c r="C134" s="164" t="s">
        <v>289</v>
      </c>
      <c r="D134" s="164" t="s">
        <v>330</v>
      </c>
      <c r="E134" s="13">
        <v>2</v>
      </c>
      <c r="F134" s="13" t="s">
        <v>26</v>
      </c>
      <c r="G134" s="13" t="s">
        <v>26</v>
      </c>
      <c r="H134" s="13"/>
      <c r="I134" s="13"/>
      <c r="J134" s="23" t="s">
        <v>27</v>
      </c>
      <c r="K134" s="201">
        <v>46223</v>
      </c>
      <c r="L134" s="202">
        <v>46224</v>
      </c>
      <c r="M134" s="164" t="s">
        <v>291</v>
      </c>
      <c r="N134" s="175" t="s">
        <v>292</v>
      </c>
      <c r="O134" s="171">
        <v>1735</v>
      </c>
      <c r="P134" s="13">
        <v>2</v>
      </c>
      <c r="Q134" s="99">
        <f t="shared" si="22"/>
        <v>17350</v>
      </c>
      <c r="R134" s="99">
        <f t="shared" si="23"/>
        <v>34700</v>
      </c>
      <c r="S134" s="99">
        <f t="shared" si="24"/>
        <v>52050</v>
      </c>
    </row>
    <row r="135" spans="1:19" ht="15.75" x14ac:dyDescent="0.25">
      <c r="A135" s="164" t="s">
        <v>318</v>
      </c>
      <c r="B135" s="34" t="s">
        <v>111</v>
      </c>
      <c r="C135" s="164" t="s">
        <v>112</v>
      </c>
      <c r="D135" s="164" t="s">
        <v>462</v>
      </c>
      <c r="E135" s="13">
        <v>2</v>
      </c>
      <c r="F135" s="13"/>
      <c r="G135" s="13"/>
      <c r="H135" s="13" t="s">
        <v>26</v>
      </c>
      <c r="I135" s="13" t="s">
        <v>26</v>
      </c>
      <c r="J135" s="23" t="s">
        <v>27</v>
      </c>
      <c r="K135" s="201">
        <v>46225</v>
      </c>
      <c r="L135" s="202">
        <v>46226</v>
      </c>
      <c r="M135" s="164" t="s">
        <v>285</v>
      </c>
      <c r="N135" s="196" t="s">
        <v>114</v>
      </c>
      <c r="O135" s="171">
        <v>1735</v>
      </c>
      <c r="P135" s="13">
        <v>2</v>
      </c>
      <c r="Q135" s="99">
        <f t="shared" si="22"/>
        <v>17350</v>
      </c>
      <c r="R135" s="99">
        <f t="shared" si="23"/>
        <v>34700</v>
      </c>
      <c r="S135" s="99">
        <f t="shared" si="24"/>
        <v>52050</v>
      </c>
    </row>
    <row r="136" spans="1:19" ht="15.75" x14ac:dyDescent="0.25">
      <c r="A136" s="164" t="s">
        <v>318</v>
      </c>
      <c r="B136" s="66" t="s">
        <v>55</v>
      </c>
      <c r="C136" s="168" t="s">
        <v>59</v>
      </c>
      <c r="D136" s="168" t="s">
        <v>57</v>
      </c>
      <c r="E136" s="68">
        <v>2</v>
      </c>
      <c r="F136" s="13" t="s">
        <v>26</v>
      </c>
      <c r="G136" s="13" t="s">
        <v>26</v>
      </c>
      <c r="H136" s="13"/>
      <c r="I136" s="13"/>
      <c r="J136" s="23" t="s">
        <v>27</v>
      </c>
      <c r="K136" s="201">
        <v>46223</v>
      </c>
      <c r="L136" s="202">
        <v>46224</v>
      </c>
      <c r="M136" s="169" t="s">
        <v>60</v>
      </c>
      <c r="N136" s="175"/>
      <c r="O136" s="171">
        <v>1735</v>
      </c>
      <c r="P136" s="68">
        <v>2</v>
      </c>
      <c r="Q136" s="99">
        <f t="shared" si="22"/>
        <v>17350</v>
      </c>
      <c r="R136" s="99">
        <f t="shared" si="23"/>
        <v>34700</v>
      </c>
      <c r="S136" s="99">
        <f t="shared" si="24"/>
        <v>52050</v>
      </c>
    </row>
    <row r="137" spans="1:19" ht="15.75" x14ac:dyDescent="0.25">
      <c r="A137" s="164" t="s">
        <v>318</v>
      </c>
      <c r="B137" s="66" t="s">
        <v>331</v>
      </c>
      <c r="C137" s="164" t="s">
        <v>332</v>
      </c>
      <c r="D137" s="164" t="s">
        <v>57</v>
      </c>
      <c r="E137" s="13">
        <v>1</v>
      </c>
      <c r="F137" s="13"/>
      <c r="G137" s="13"/>
      <c r="H137" s="13" t="s">
        <v>26</v>
      </c>
      <c r="I137" s="13"/>
      <c r="J137" s="23" t="s">
        <v>27</v>
      </c>
      <c r="K137" s="201">
        <v>46225</v>
      </c>
      <c r="L137" s="202">
        <v>46225</v>
      </c>
      <c r="M137" s="169" t="s">
        <v>105</v>
      </c>
      <c r="N137" s="175"/>
      <c r="O137" s="171">
        <v>881</v>
      </c>
      <c r="P137" s="13">
        <v>1</v>
      </c>
      <c r="Q137" s="99">
        <f t="shared" si="22"/>
        <v>8810</v>
      </c>
      <c r="R137" s="99">
        <f t="shared" si="23"/>
        <v>17620</v>
      </c>
      <c r="S137" s="99">
        <f t="shared" si="24"/>
        <v>26430</v>
      </c>
    </row>
    <row r="138" spans="1:19" ht="15.75" x14ac:dyDescent="0.25">
      <c r="A138" s="164" t="s">
        <v>318</v>
      </c>
      <c r="B138" s="34" t="s">
        <v>333</v>
      </c>
      <c r="C138" s="164" t="s">
        <v>334</v>
      </c>
      <c r="D138" s="164" t="s">
        <v>302</v>
      </c>
      <c r="E138" s="13" t="s">
        <v>320</v>
      </c>
      <c r="F138" s="13" t="s">
        <v>335</v>
      </c>
      <c r="G138" s="13"/>
      <c r="H138" s="13"/>
      <c r="I138" s="13"/>
      <c r="J138" s="23" t="s">
        <v>27</v>
      </c>
      <c r="K138" s="201">
        <v>46223</v>
      </c>
      <c r="L138" s="201">
        <v>46223</v>
      </c>
      <c r="M138" s="164" t="s">
        <v>329</v>
      </c>
      <c r="N138" s="175"/>
      <c r="O138" s="171">
        <v>518</v>
      </c>
      <c r="P138" s="68" t="s">
        <v>85</v>
      </c>
      <c r="Q138" s="99">
        <f t="shared" si="22"/>
        <v>5180</v>
      </c>
      <c r="R138" s="99">
        <f t="shared" si="23"/>
        <v>10360</v>
      </c>
      <c r="S138" s="99">
        <f t="shared" si="24"/>
        <v>15540</v>
      </c>
    </row>
    <row r="139" spans="1:19" ht="15.75" x14ac:dyDescent="0.25">
      <c r="A139" s="164" t="s">
        <v>318</v>
      </c>
      <c r="B139" s="34" t="s">
        <v>248</v>
      </c>
      <c r="C139" s="164" t="s">
        <v>249</v>
      </c>
      <c r="D139" s="164" t="s">
        <v>302</v>
      </c>
      <c r="E139" s="13">
        <v>2</v>
      </c>
      <c r="F139" s="13"/>
      <c r="G139" s="13" t="s">
        <v>26</v>
      </c>
      <c r="H139" s="13" t="s">
        <v>26</v>
      </c>
      <c r="I139" s="13"/>
      <c r="J139" s="23" t="s">
        <v>27</v>
      </c>
      <c r="K139" s="201">
        <v>46224</v>
      </c>
      <c r="L139" s="202">
        <v>46225</v>
      </c>
      <c r="M139" s="164" t="s">
        <v>105</v>
      </c>
      <c r="N139" s="175"/>
      <c r="O139" s="171">
        <v>1735</v>
      </c>
      <c r="P139" s="13">
        <v>2</v>
      </c>
      <c r="Q139" s="99">
        <f t="shared" si="22"/>
        <v>17350</v>
      </c>
      <c r="R139" s="99">
        <f t="shared" si="23"/>
        <v>34700</v>
      </c>
      <c r="S139" s="99">
        <f t="shared" si="24"/>
        <v>52050</v>
      </c>
    </row>
    <row r="140" spans="1:19" ht="15.75" x14ac:dyDescent="0.25">
      <c r="A140" s="164" t="s">
        <v>318</v>
      </c>
      <c r="B140" s="34" t="s">
        <v>336</v>
      </c>
      <c r="C140" s="164" t="s">
        <v>337</v>
      </c>
      <c r="D140" s="164" t="s">
        <v>338</v>
      </c>
      <c r="E140" s="13">
        <v>2</v>
      </c>
      <c r="F140" s="13" t="s">
        <v>26</v>
      </c>
      <c r="G140" s="13" t="s">
        <v>26</v>
      </c>
      <c r="H140" s="13"/>
      <c r="I140" s="13"/>
      <c r="J140" s="23" t="s">
        <v>27</v>
      </c>
      <c r="K140" s="201">
        <v>46223</v>
      </c>
      <c r="L140" s="202">
        <v>46224</v>
      </c>
      <c r="M140" s="164" t="s">
        <v>286</v>
      </c>
      <c r="N140" s="175"/>
      <c r="O140" s="171">
        <v>1735</v>
      </c>
      <c r="P140" s="13">
        <v>2</v>
      </c>
      <c r="Q140" s="99">
        <f t="shared" si="22"/>
        <v>17350</v>
      </c>
      <c r="R140" s="99">
        <f t="shared" si="23"/>
        <v>34700</v>
      </c>
      <c r="S140" s="99">
        <f t="shared" si="24"/>
        <v>52050</v>
      </c>
    </row>
    <row r="141" spans="1:19" ht="15.75" x14ac:dyDescent="0.25">
      <c r="A141" s="164" t="s">
        <v>318</v>
      </c>
      <c r="B141" s="34" t="s">
        <v>139</v>
      </c>
      <c r="C141" s="164" t="s">
        <v>140</v>
      </c>
      <c r="D141" s="164" t="s">
        <v>141</v>
      </c>
      <c r="E141" s="13">
        <v>2</v>
      </c>
      <c r="F141" s="13" t="s">
        <v>26</v>
      </c>
      <c r="G141" s="13" t="s">
        <v>26</v>
      </c>
      <c r="H141" s="13"/>
      <c r="I141" s="13"/>
      <c r="J141" s="23" t="s">
        <v>27</v>
      </c>
      <c r="K141" s="201">
        <v>46223</v>
      </c>
      <c r="L141" s="202">
        <v>46224</v>
      </c>
      <c r="M141" s="164" t="s">
        <v>240</v>
      </c>
      <c r="N141" s="175"/>
      <c r="O141" s="171">
        <v>1735</v>
      </c>
      <c r="P141" s="13">
        <v>2</v>
      </c>
      <c r="Q141" s="99">
        <f t="shared" si="22"/>
        <v>17350</v>
      </c>
      <c r="R141" s="99">
        <f t="shared" si="23"/>
        <v>34700</v>
      </c>
      <c r="S141" s="99">
        <f t="shared" si="24"/>
        <v>52050</v>
      </c>
    </row>
    <row r="142" spans="1:19" ht="15.75" x14ac:dyDescent="0.25">
      <c r="A142" s="164" t="s">
        <v>318</v>
      </c>
      <c r="B142" s="34" t="s">
        <v>143</v>
      </c>
      <c r="C142" s="164" t="s">
        <v>144</v>
      </c>
      <c r="D142" s="164" t="s">
        <v>141</v>
      </c>
      <c r="E142" s="13">
        <v>2</v>
      </c>
      <c r="F142" s="13"/>
      <c r="G142" s="13"/>
      <c r="H142" s="13" t="s">
        <v>26</v>
      </c>
      <c r="I142" s="13" t="s">
        <v>26</v>
      </c>
      <c r="J142" s="23" t="s">
        <v>27</v>
      </c>
      <c r="K142" s="201">
        <v>46225</v>
      </c>
      <c r="L142" s="202">
        <v>46226</v>
      </c>
      <c r="M142" s="164" t="s">
        <v>286</v>
      </c>
      <c r="N142" s="175"/>
      <c r="O142" s="171">
        <v>1735</v>
      </c>
      <c r="P142" s="13">
        <v>2</v>
      </c>
      <c r="Q142" s="99">
        <f t="shared" si="22"/>
        <v>17350</v>
      </c>
      <c r="R142" s="99">
        <f t="shared" si="23"/>
        <v>34700</v>
      </c>
      <c r="S142" s="99">
        <f t="shared" si="24"/>
        <v>52050</v>
      </c>
    </row>
    <row r="143" spans="1:19" ht="15.75" x14ac:dyDescent="0.25">
      <c r="A143" s="164" t="s">
        <v>318</v>
      </c>
      <c r="B143" s="34" t="s">
        <v>86</v>
      </c>
      <c r="C143" s="37" t="s">
        <v>87</v>
      </c>
      <c r="D143" s="24" t="s">
        <v>88</v>
      </c>
      <c r="E143" s="13">
        <v>3</v>
      </c>
      <c r="F143" s="13" t="s">
        <v>26</v>
      </c>
      <c r="G143" s="13" t="s">
        <v>26</v>
      </c>
      <c r="H143" s="13" t="s">
        <v>26</v>
      </c>
      <c r="I143" s="13"/>
      <c r="J143" s="23" t="s">
        <v>27</v>
      </c>
      <c r="K143" s="201">
        <v>46223</v>
      </c>
      <c r="L143" s="202">
        <v>46225</v>
      </c>
      <c r="M143" s="30" t="s">
        <v>89</v>
      </c>
      <c r="N143" s="175" t="s">
        <v>313</v>
      </c>
      <c r="O143" s="171">
        <v>2427</v>
      </c>
      <c r="P143" s="13">
        <v>3</v>
      </c>
      <c r="Q143" s="99">
        <v>24270</v>
      </c>
      <c r="R143" s="99">
        <v>48540</v>
      </c>
      <c r="S143" s="99">
        <v>72810</v>
      </c>
    </row>
    <row r="144" spans="1:19" ht="15.75" x14ac:dyDescent="0.25">
      <c r="A144" s="164" t="s">
        <v>318</v>
      </c>
      <c r="B144" s="94"/>
      <c r="C144" s="211"/>
      <c r="D144" s="211"/>
      <c r="E144" s="13">
        <v>2</v>
      </c>
      <c r="F144" s="13"/>
      <c r="G144" s="13"/>
      <c r="H144" s="13"/>
      <c r="I144" s="22"/>
      <c r="J144" s="23"/>
      <c r="K144" s="201"/>
      <c r="L144" s="202"/>
      <c r="M144" s="211"/>
      <c r="N144" s="175"/>
      <c r="O144" s="171"/>
      <c r="P144" s="13"/>
      <c r="Q144" s="99"/>
      <c r="R144" s="99"/>
      <c r="S144" s="99"/>
    </row>
    <row r="145" spans="1:19" ht="15.75" x14ac:dyDescent="0.25">
      <c r="A145" s="164" t="s">
        <v>272</v>
      </c>
      <c r="B145" s="164"/>
      <c r="C145" s="164"/>
      <c r="D145" s="164"/>
      <c r="E145" s="13"/>
      <c r="F145" s="13">
        <v>10</v>
      </c>
      <c r="G145" s="13">
        <v>9</v>
      </c>
      <c r="H145" s="18" t="s">
        <v>158</v>
      </c>
      <c r="I145" s="14">
        <v>3</v>
      </c>
      <c r="J145" s="23" t="s">
        <v>27</v>
      </c>
      <c r="K145" s="175"/>
      <c r="L145" s="186"/>
      <c r="M145" s="164"/>
      <c r="N145" s="175"/>
      <c r="O145" s="171" t="s">
        <v>91</v>
      </c>
      <c r="P145" s="13"/>
      <c r="Q145" s="99">
        <f>SUM(Q128:Q144)</f>
        <v>243100</v>
      </c>
      <c r="R145" s="99">
        <f>SUM(R128:R144)</f>
        <v>486200</v>
      </c>
      <c r="S145" s="99">
        <f>SUM(S128:S144)</f>
        <v>729300</v>
      </c>
    </row>
    <row r="146" spans="1:19" ht="15.75" x14ac:dyDescent="0.25">
      <c r="A146" s="166" t="s">
        <v>339</v>
      </c>
      <c r="B146" s="203" t="s">
        <v>1</v>
      </c>
      <c r="C146" s="203" t="s">
        <v>340</v>
      </c>
      <c r="D146" s="203" t="s">
        <v>3</v>
      </c>
      <c r="E146" s="127" t="s">
        <v>15</v>
      </c>
      <c r="F146" s="21" t="s">
        <v>341</v>
      </c>
      <c r="G146" s="21" t="s">
        <v>342</v>
      </c>
      <c r="H146" s="114"/>
      <c r="I146" s="114"/>
      <c r="J146" s="126" t="s">
        <v>277</v>
      </c>
      <c r="K146" s="21"/>
      <c r="L146" s="21"/>
      <c r="M146" s="127" t="s">
        <v>12</v>
      </c>
      <c r="N146" s="185"/>
      <c r="O146" s="194"/>
      <c r="P146" s="21"/>
      <c r="Q146" s="166"/>
      <c r="R146" s="166"/>
      <c r="S146" s="166"/>
    </row>
    <row r="147" spans="1:19" ht="15.75" x14ac:dyDescent="0.25">
      <c r="A147" s="188" t="s">
        <v>343</v>
      </c>
      <c r="B147" s="54" t="s">
        <v>344</v>
      </c>
      <c r="C147" s="175" t="s">
        <v>345</v>
      </c>
      <c r="D147" s="177" t="s">
        <v>346</v>
      </c>
      <c r="E147" s="45">
        <v>2</v>
      </c>
      <c r="F147" s="128" t="s">
        <v>26</v>
      </c>
      <c r="G147" s="129" t="s">
        <v>26</v>
      </c>
      <c r="H147" s="114"/>
      <c r="I147" s="132"/>
      <c r="J147" s="48" t="s">
        <v>101</v>
      </c>
      <c r="K147" s="128">
        <v>46231</v>
      </c>
      <c r="L147" s="150">
        <v>46232</v>
      </c>
      <c r="M147" s="175" t="s">
        <v>286</v>
      </c>
      <c r="N147" s="200"/>
      <c r="O147" s="171">
        <v>1735</v>
      </c>
      <c r="P147" s="13">
        <v>2</v>
      </c>
      <c r="Q147" s="99">
        <f>(O147*10)</f>
        <v>17350</v>
      </c>
      <c r="R147" s="99">
        <f>(O147*20)</f>
        <v>34700</v>
      </c>
      <c r="S147" s="99">
        <f>(O147*30)</f>
        <v>52050</v>
      </c>
    </row>
    <row r="148" spans="1:19" ht="15.75" x14ac:dyDescent="0.25">
      <c r="A148" s="188" t="s">
        <v>343</v>
      </c>
      <c r="B148" s="204" t="s">
        <v>170</v>
      </c>
      <c r="C148" s="204" t="s">
        <v>347</v>
      </c>
      <c r="D148" s="204" t="s">
        <v>348</v>
      </c>
      <c r="E148" s="141">
        <v>1</v>
      </c>
      <c r="F148" s="142" t="s">
        <v>26</v>
      </c>
      <c r="G148" s="129"/>
      <c r="H148" s="114"/>
      <c r="I148" s="132"/>
      <c r="J148" s="48" t="s">
        <v>109</v>
      </c>
      <c r="K148" s="128">
        <v>46231</v>
      </c>
      <c r="L148" s="150">
        <v>46231</v>
      </c>
      <c r="M148" s="175" t="s">
        <v>286</v>
      </c>
      <c r="N148" s="200"/>
      <c r="O148" s="171">
        <v>881</v>
      </c>
      <c r="P148" s="13">
        <v>1</v>
      </c>
      <c r="Q148" s="99">
        <v>8810</v>
      </c>
      <c r="R148" s="99">
        <v>17620</v>
      </c>
      <c r="S148" s="99">
        <v>26430</v>
      </c>
    </row>
    <row r="149" spans="1:19" ht="15.75" x14ac:dyDescent="0.25">
      <c r="A149" s="188" t="s">
        <v>343</v>
      </c>
      <c r="B149" s="210" t="s">
        <v>170</v>
      </c>
      <c r="C149" s="175" t="s">
        <v>349</v>
      </c>
      <c r="D149" s="204" t="s">
        <v>348</v>
      </c>
      <c r="E149" s="143">
        <v>1</v>
      </c>
      <c r="F149" s="138"/>
      <c r="G149" s="144" t="s">
        <v>26</v>
      </c>
      <c r="H149" s="114"/>
      <c r="I149" s="132"/>
      <c r="J149" s="64">
        <v>2</v>
      </c>
      <c r="K149" s="129">
        <v>46232</v>
      </c>
      <c r="L149" s="150">
        <v>46232</v>
      </c>
      <c r="M149" s="210" t="s">
        <v>105</v>
      </c>
      <c r="N149" s="238"/>
      <c r="O149" s="171">
        <v>881</v>
      </c>
      <c r="P149" s="13">
        <v>1</v>
      </c>
      <c r="Q149" s="99">
        <v>8810</v>
      </c>
      <c r="R149" s="99">
        <v>17620</v>
      </c>
      <c r="S149" s="99">
        <v>26430</v>
      </c>
    </row>
    <row r="150" spans="1:19" ht="15.75" x14ac:dyDescent="0.25">
      <c r="A150" s="188" t="s">
        <v>343</v>
      </c>
      <c r="B150" s="210" t="s">
        <v>350</v>
      </c>
      <c r="C150" s="175" t="s">
        <v>351</v>
      </c>
      <c r="D150" s="204" t="s">
        <v>352</v>
      </c>
      <c r="E150" s="143">
        <v>2</v>
      </c>
      <c r="F150" s="138" t="s">
        <v>26</v>
      </c>
      <c r="G150" s="151" t="s">
        <v>26</v>
      </c>
      <c r="H150" s="152"/>
      <c r="I150" s="152"/>
      <c r="J150" s="64">
        <v>2</v>
      </c>
      <c r="K150" s="128">
        <v>46231</v>
      </c>
      <c r="L150" s="150">
        <v>46232</v>
      </c>
      <c r="M150" s="210" t="s">
        <v>286</v>
      </c>
      <c r="N150" s="239"/>
      <c r="O150" s="171">
        <v>1735</v>
      </c>
      <c r="P150" s="13">
        <v>2</v>
      </c>
      <c r="Q150" s="99">
        <f>(O150*10)</f>
        <v>17350</v>
      </c>
      <c r="R150" s="99">
        <f>(O150*20)</f>
        <v>34700</v>
      </c>
      <c r="S150" s="99">
        <f>(O150*30)</f>
        <v>52050</v>
      </c>
    </row>
    <row r="151" spans="1:19" ht="15.75" x14ac:dyDescent="0.25">
      <c r="A151" s="210" t="s">
        <v>272</v>
      </c>
      <c r="B151" s="210"/>
      <c r="C151" s="210"/>
      <c r="D151" s="235"/>
      <c r="E151" s="153"/>
      <c r="F151" s="45">
        <v>2</v>
      </c>
      <c r="G151" s="45">
        <v>2</v>
      </c>
      <c r="H151" s="46"/>
      <c r="I151" s="46"/>
      <c r="J151" s="48"/>
      <c r="K151" s="240"/>
      <c r="L151" s="202"/>
      <c r="M151" s="210"/>
      <c r="N151" s="73"/>
      <c r="O151" s="171" t="s">
        <v>91</v>
      </c>
      <c r="P151" s="38"/>
      <c r="Q151" s="99">
        <f>SUM(Q147:Q149)</f>
        <v>34970</v>
      </c>
      <c r="R151" s="99">
        <f>SUM(R147:R149)</f>
        <v>69940</v>
      </c>
      <c r="S151" s="99">
        <f>SUM(S147:S149)</f>
        <v>104910</v>
      </c>
    </row>
    <row r="152" spans="1:19" ht="15.75" x14ac:dyDescent="0.25">
      <c r="A152" s="166" t="s">
        <v>353</v>
      </c>
      <c r="B152" s="203"/>
      <c r="C152" s="203" t="s">
        <v>354</v>
      </c>
      <c r="D152" s="166" t="s">
        <v>3</v>
      </c>
      <c r="E152" s="21"/>
      <c r="F152" s="96">
        <v>3</v>
      </c>
      <c r="G152" s="96">
        <v>4</v>
      </c>
      <c r="H152" s="96">
        <v>5</v>
      </c>
      <c r="I152" s="96">
        <v>6</v>
      </c>
      <c r="J152" s="241" t="s">
        <v>355</v>
      </c>
      <c r="K152" s="175"/>
      <c r="L152" s="186"/>
      <c r="M152" s="242"/>
      <c r="N152" s="235"/>
      <c r="O152" s="192"/>
      <c r="P152" s="21"/>
      <c r="Q152" s="154"/>
      <c r="R152" s="154"/>
      <c r="S152" s="154"/>
    </row>
    <row r="153" spans="1:19" ht="15.75" x14ac:dyDescent="0.25">
      <c r="A153" s="168" t="s">
        <v>356</v>
      </c>
      <c r="B153" s="76" t="s">
        <v>98</v>
      </c>
      <c r="C153" s="164" t="s">
        <v>99</v>
      </c>
      <c r="D153" s="164" t="s">
        <v>100</v>
      </c>
      <c r="E153" s="13">
        <v>1</v>
      </c>
      <c r="F153" s="68" t="s">
        <v>26</v>
      </c>
      <c r="G153" s="68"/>
      <c r="H153" s="84"/>
      <c r="I153" s="85"/>
      <c r="J153" s="23" t="s">
        <v>101</v>
      </c>
      <c r="K153" s="201">
        <v>46237</v>
      </c>
      <c r="L153" s="201">
        <v>46237</v>
      </c>
      <c r="M153" s="168" t="s">
        <v>51</v>
      </c>
      <c r="N153" s="74"/>
      <c r="O153" s="171">
        <v>881</v>
      </c>
      <c r="P153" s="13">
        <v>1</v>
      </c>
      <c r="Q153" s="99">
        <f>(O153*10)</f>
        <v>8810</v>
      </c>
      <c r="R153" s="99">
        <f>(O153*20)</f>
        <v>17620</v>
      </c>
      <c r="S153" s="99">
        <f>(O153*30)</f>
        <v>26430</v>
      </c>
    </row>
    <row r="154" spans="1:19" ht="15.75" x14ac:dyDescent="0.25">
      <c r="A154" s="164" t="s">
        <v>356</v>
      </c>
      <c r="B154" s="24" t="s">
        <v>103</v>
      </c>
      <c r="C154" s="168" t="s">
        <v>104</v>
      </c>
      <c r="D154" s="168" t="s">
        <v>100</v>
      </c>
      <c r="E154" s="13">
        <v>3</v>
      </c>
      <c r="F154" s="13"/>
      <c r="G154" s="13" t="s">
        <v>26</v>
      </c>
      <c r="H154" s="18" t="s">
        <v>26</v>
      </c>
      <c r="I154" s="22" t="s">
        <v>26</v>
      </c>
      <c r="J154" s="23" t="s">
        <v>101</v>
      </c>
      <c r="K154" s="201">
        <v>46238</v>
      </c>
      <c r="L154" s="201">
        <v>46240</v>
      </c>
      <c r="M154" s="164" t="s">
        <v>105</v>
      </c>
      <c r="N154" s="75"/>
      <c r="O154" s="171">
        <v>2427</v>
      </c>
      <c r="P154" s="13">
        <v>3</v>
      </c>
      <c r="Q154" s="99">
        <f>(O154*10)</f>
        <v>24270</v>
      </c>
      <c r="R154" s="99">
        <f>(O154*20)</f>
        <v>48540</v>
      </c>
      <c r="S154" s="99">
        <f>(O154*30)</f>
        <v>72810</v>
      </c>
    </row>
    <row r="155" spans="1:19" ht="15.75" x14ac:dyDescent="0.25">
      <c r="A155" s="168" t="s">
        <v>356</v>
      </c>
      <c r="B155" s="76" t="s">
        <v>124</v>
      </c>
      <c r="C155" s="168" t="s">
        <v>125</v>
      </c>
      <c r="D155" s="168" t="s">
        <v>126</v>
      </c>
      <c r="E155" s="68">
        <v>2</v>
      </c>
      <c r="F155" s="68"/>
      <c r="G155" s="68"/>
      <c r="H155" s="84" t="s">
        <v>26</v>
      </c>
      <c r="I155" s="85" t="s">
        <v>26</v>
      </c>
      <c r="J155" s="23" t="s">
        <v>109</v>
      </c>
      <c r="K155" s="201">
        <v>46239</v>
      </c>
      <c r="L155" s="201">
        <v>46240</v>
      </c>
      <c r="M155" s="168" t="s">
        <v>51</v>
      </c>
      <c r="N155" s="75"/>
      <c r="O155" s="171">
        <v>1735</v>
      </c>
      <c r="P155" s="68">
        <v>2</v>
      </c>
      <c r="Q155" s="99">
        <f>(O155*10)</f>
        <v>17350</v>
      </c>
      <c r="R155" s="99">
        <f>(O155*20)</f>
        <v>34700</v>
      </c>
      <c r="S155" s="99">
        <f>(O155*30)</f>
        <v>52050</v>
      </c>
    </row>
    <row r="156" spans="1:19" ht="15.75" x14ac:dyDescent="0.25">
      <c r="A156" s="168" t="s">
        <v>356</v>
      </c>
      <c r="B156" s="76" t="s">
        <v>128</v>
      </c>
      <c r="C156" s="168" t="s">
        <v>129</v>
      </c>
      <c r="D156" s="168" t="s">
        <v>126</v>
      </c>
      <c r="E156" s="68">
        <v>2</v>
      </c>
      <c r="F156" s="68" t="s">
        <v>26</v>
      </c>
      <c r="G156" s="68" t="s">
        <v>26</v>
      </c>
      <c r="H156" s="84"/>
      <c r="I156" s="85"/>
      <c r="J156" s="23" t="s">
        <v>109</v>
      </c>
      <c r="K156" s="201">
        <v>46237</v>
      </c>
      <c r="L156" s="201">
        <v>46238</v>
      </c>
      <c r="M156" s="168" t="s">
        <v>105</v>
      </c>
      <c r="N156" s="75"/>
      <c r="O156" s="171">
        <v>1735</v>
      </c>
      <c r="P156" s="68">
        <v>2</v>
      </c>
      <c r="Q156" s="99">
        <f>(O156*10)</f>
        <v>17350</v>
      </c>
      <c r="R156" s="99">
        <f>(O156*20)</f>
        <v>34700</v>
      </c>
      <c r="S156" s="99">
        <f>(O156*30)</f>
        <v>52050</v>
      </c>
    </row>
    <row r="157" spans="1:19" ht="15.75" x14ac:dyDescent="0.25">
      <c r="A157" s="168" t="s">
        <v>356</v>
      </c>
      <c r="B157" s="76" t="s">
        <v>131</v>
      </c>
      <c r="C157" s="168" t="s">
        <v>132</v>
      </c>
      <c r="D157" s="168" t="s">
        <v>133</v>
      </c>
      <c r="E157" s="68">
        <v>1</v>
      </c>
      <c r="F157" s="68" t="s">
        <v>26</v>
      </c>
      <c r="G157" s="68"/>
      <c r="H157" s="84"/>
      <c r="I157" s="85"/>
      <c r="J157" s="23" t="s">
        <v>118</v>
      </c>
      <c r="K157" s="201">
        <v>46237</v>
      </c>
      <c r="L157" s="201">
        <v>46237</v>
      </c>
      <c r="M157" s="168" t="s">
        <v>105</v>
      </c>
      <c r="N157" s="75"/>
      <c r="O157" s="171">
        <v>881</v>
      </c>
      <c r="P157" s="68">
        <v>1</v>
      </c>
      <c r="Q157" s="99">
        <f>(O157*10)</f>
        <v>8810</v>
      </c>
      <c r="R157" s="99">
        <f>(O157*20)</f>
        <v>17620</v>
      </c>
      <c r="S157" s="99">
        <f>(O157*30)</f>
        <v>26430</v>
      </c>
    </row>
    <row r="158" spans="1:19" ht="15.75" x14ac:dyDescent="0.25">
      <c r="A158" s="168" t="s">
        <v>356</v>
      </c>
      <c r="B158" s="30" t="s">
        <v>136</v>
      </c>
      <c r="C158" s="168" t="s">
        <v>137</v>
      </c>
      <c r="D158" s="168" t="s">
        <v>133</v>
      </c>
      <c r="E158" s="68">
        <v>2</v>
      </c>
      <c r="F158" s="68"/>
      <c r="G158" s="68" t="s">
        <v>26</v>
      </c>
      <c r="H158" s="84"/>
      <c r="I158" s="85"/>
      <c r="J158" s="23" t="s">
        <v>118</v>
      </c>
      <c r="K158" s="201">
        <v>46238</v>
      </c>
      <c r="L158" s="201">
        <v>46238</v>
      </c>
      <c r="M158" s="168" t="s">
        <v>105</v>
      </c>
      <c r="N158" s="75" t="s">
        <v>357</v>
      </c>
      <c r="O158" s="171">
        <v>1735</v>
      </c>
      <c r="P158" s="68">
        <v>2</v>
      </c>
      <c r="Q158" s="99">
        <f t="shared" ref="Q158:Q165" si="25">(O158*10)</f>
        <v>17350</v>
      </c>
      <c r="R158" s="99">
        <f t="shared" ref="R158:R165" si="26">(O158*20)</f>
        <v>34700</v>
      </c>
      <c r="S158" s="99">
        <f t="shared" ref="S158:S165" si="27">(O158*30)</f>
        <v>52050</v>
      </c>
    </row>
    <row r="159" spans="1:19" ht="15.75" x14ac:dyDescent="0.25">
      <c r="A159" s="172" t="s">
        <v>356</v>
      </c>
      <c r="B159" s="155" t="s">
        <v>358</v>
      </c>
      <c r="C159" s="172" t="s">
        <v>359</v>
      </c>
      <c r="D159" s="243" t="s">
        <v>148</v>
      </c>
      <c r="E159" s="244">
        <v>1</v>
      </c>
      <c r="F159" s="204"/>
      <c r="G159" s="204"/>
      <c r="H159" s="156"/>
      <c r="I159" s="157" t="s">
        <v>26</v>
      </c>
      <c r="J159" s="77" t="s">
        <v>118</v>
      </c>
      <c r="K159" s="201">
        <v>46240</v>
      </c>
      <c r="L159" s="201">
        <v>46240</v>
      </c>
      <c r="M159" s="210"/>
      <c r="N159" s="218" t="s">
        <v>260</v>
      </c>
      <c r="O159" s="171">
        <v>881</v>
      </c>
      <c r="P159" s="68">
        <v>1</v>
      </c>
      <c r="Q159" s="99">
        <f>(O159*10)</f>
        <v>8810</v>
      </c>
      <c r="R159" s="99">
        <f>(O159*20)</f>
        <v>17620</v>
      </c>
      <c r="S159" s="99">
        <f>(O159*30)</f>
        <v>26430</v>
      </c>
    </row>
    <row r="160" spans="1:19" ht="15.75" x14ac:dyDescent="0.25">
      <c r="A160" s="210" t="s">
        <v>356</v>
      </c>
      <c r="B160" s="16" t="s">
        <v>258</v>
      </c>
      <c r="C160" s="175" t="s">
        <v>259</v>
      </c>
      <c r="D160" s="175" t="s">
        <v>148</v>
      </c>
      <c r="E160" s="123">
        <v>1</v>
      </c>
      <c r="F160" s="175"/>
      <c r="G160" s="45"/>
      <c r="H160" s="46" t="s">
        <v>26</v>
      </c>
      <c r="I160" s="46"/>
      <c r="J160" s="48" t="s">
        <v>118</v>
      </c>
      <c r="K160" s="240">
        <v>46239</v>
      </c>
      <c r="L160" s="240">
        <v>46239</v>
      </c>
      <c r="M160" s="243"/>
      <c r="N160" s="218" t="s">
        <v>260</v>
      </c>
      <c r="O160" s="171">
        <v>881</v>
      </c>
      <c r="P160" s="68">
        <v>1</v>
      </c>
      <c r="Q160" s="99">
        <f>(O160*10)</f>
        <v>8810</v>
      </c>
      <c r="R160" s="99">
        <f>(O160*20)</f>
        <v>17620</v>
      </c>
      <c r="S160" s="99">
        <f>(O160*30)</f>
        <v>26430</v>
      </c>
    </row>
    <row r="161" spans="1:19" ht="15.75" x14ac:dyDescent="0.25">
      <c r="A161" s="168" t="s">
        <v>356</v>
      </c>
      <c r="B161" s="158" t="s">
        <v>168</v>
      </c>
      <c r="C161" s="175" t="s">
        <v>169</v>
      </c>
      <c r="D161" s="177" t="s">
        <v>148</v>
      </c>
      <c r="E161" s="39">
        <v>2</v>
      </c>
      <c r="F161" s="39" t="s">
        <v>26</v>
      </c>
      <c r="G161" s="13" t="s">
        <v>26</v>
      </c>
      <c r="H161" s="38"/>
      <c r="I161" s="68"/>
      <c r="J161" s="78" t="s">
        <v>123</v>
      </c>
      <c r="K161" s="201">
        <v>46237</v>
      </c>
      <c r="L161" s="201">
        <v>46238</v>
      </c>
      <c r="M161" s="168"/>
      <c r="N161" s="75" t="s">
        <v>360</v>
      </c>
      <c r="O161" s="171">
        <v>1735</v>
      </c>
      <c r="P161" s="68">
        <v>2</v>
      </c>
      <c r="Q161" s="99">
        <f>(O161*10)</f>
        <v>17350</v>
      </c>
      <c r="R161" s="99">
        <f>(O161*20)</f>
        <v>34700</v>
      </c>
      <c r="S161" s="99">
        <f>(O161*30)</f>
        <v>52050</v>
      </c>
    </row>
    <row r="162" spans="1:19" ht="15.75" x14ac:dyDescent="0.25">
      <c r="A162" s="168" t="s">
        <v>356</v>
      </c>
      <c r="B162" s="76" t="s">
        <v>43</v>
      </c>
      <c r="C162" s="164" t="s">
        <v>44</v>
      </c>
      <c r="D162" s="168" t="s">
        <v>45</v>
      </c>
      <c r="E162" s="68">
        <v>2</v>
      </c>
      <c r="F162" s="68" t="s">
        <v>26</v>
      </c>
      <c r="G162" s="68" t="s">
        <v>26</v>
      </c>
      <c r="H162" s="84"/>
      <c r="I162" s="85"/>
      <c r="J162" s="23" t="s">
        <v>123</v>
      </c>
      <c r="K162" s="201">
        <v>46239</v>
      </c>
      <c r="L162" s="201">
        <v>46240</v>
      </c>
      <c r="M162" s="168" t="s">
        <v>47</v>
      </c>
      <c r="N162" s="75"/>
      <c r="O162" s="171">
        <v>1735</v>
      </c>
      <c r="P162" s="68">
        <v>2</v>
      </c>
      <c r="Q162" s="99">
        <f t="shared" si="25"/>
        <v>17350</v>
      </c>
      <c r="R162" s="99">
        <f t="shared" si="26"/>
        <v>34700</v>
      </c>
      <c r="S162" s="99">
        <f t="shared" si="27"/>
        <v>52050</v>
      </c>
    </row>
    <row r="163" spans="1:19" ht="15.75" x14ac:dyDescent="0.25">
      <c r="A163" s="169" t="s">
        <v>356</v>
      </c>
      <c r="B163" s="79" t="s">
        <v>256</v>
      </c>
      <c r="C163" s="169" t="s">
        <v>257</v>
      </c>
      <c r="D163" s="66" t="s">
        <v>76</v>
      </c>
      <c r="E163" s="38">
        <v>3</v>
      </c>
      <c r="F163" s="38" t="s">
        <v>26</v>
      </c>
      <c r="G163" s="38" t="s">
        <v>26</v>
      </c>
      <c r="H163" s="71" t="s">
        <v>26</v>
      </c>
      <c r="I163" s="159"/>
      <c r="J163" s="23" t="s">
        <v>127</v>
      </c>
      <c r="K163" s="201">
        <v>46237</v>
      </c>
      <c r="L163" s="201">
        <v>46239</v>
      </c>
      <c r="M163" s="168" t="s">
        <v>105</v>
      </c>
      <c r="N163" s="75"/>
      <c r="O163" s="171">
        <v>3228</v>
      </c>
      <c r="P163" s="68">
        <v>4</v>
      </c>
      <c r="Q163" s="99">
        <f t="shared" si="25"/>
        <v>32280</v>
      </c>
      <c r="R163" s="99">
        <f t="shared" si="26"/>
        <v>64560</v>
      </c>
      <c r="S163" s="99">
        <f t="shared" si="27"/>
        <v>96840</v>
      </c>
    </row>
    <row r="164" spans="1:19" ht="15.75" x14ac:dyDescent="0.25">
      <c r="A164" s="168" t="s">
        <v>356</v>
      </c>
      <c r="B164" s="76" t="s">
        <v>361</v>
      </c>
      <c r="C164" s="164" t="s">
        <v>362</v>
      </c>
      <c r="D164" s="168" t="s">
        <v>363</v>
      </c>
      <c r="E164" s="68">
        <v>2</v>
      </c>
      <c r="F164" s="67" t="s">
        <v>26</v>
      </c>
      <c r="G164" s="67" t="s">
        <v>26</v>
      </c>
      <c r="H164" s="67"/>
      <c r="I164" s="67"/>
      <c r="J164" s="23" t="s">
        <v>134</v>
      </c>
      <c r="K164" s="201">
        <v>46237</v>
      </c>
      <c r="L164" s="201">
        <v>46238</v>
      </c>
      <c r="M164" s="168" t="s">
        <v>364</v>
      </c>
      <c r="N164" s="75"/>
      <c r="O164" s="171">
        <v>1735</v>
      </c>
      <c r="P164" s="68">
        <v>2</v>
      </c>
      <c r="Q164" s="99">
        <f t="shared" si="25"/>
        <v>17350</v>
      </c>
      <c r="R164" s="99">
        <f t="shared" si="26"/>
        <v>34700</v>
      </c>
      <c r="S164" s="99">
        <f t="shared" si="27"/>
        <v>52050</v>
      </c>
    </row>
    <row r="165" spans="1:19" ht="15.75" x14ac:dyDescent="0.25">
      <c r="A165" s="168" t="s">
        <v>356</v>
      </c>
      <c r="B165" s="76" t="s">
        <v>365</v>
      </c>
      <c r="C165" s="168" t="s">
        <v>366</v>
      </c>
      <c r="D165" s="168" t="s">
        <v>363</v>
      </c>
      <c r="E165" s="245">
        <v>2</v>
      </c>
      <c r="F165" s="143"/>
      <c r="G165" s="143"/>
      <c r="H165" s="143" t="s">
        <v>26</v>
      </c>
      <c r="I165" s="143" t="s">
        <v>26</v>
      </c>
      <c r="J165" s="80" t="s">
        <v>134</v>
      </c>
      <c r="K165" s="201">
        <v>46239</v>
      </c>
      <c r="L165" s="201">
        <v>46240</v>
      </c>
      <c r="M165" s="168" t="s">
        <v>364</v>
      </c>
      <c r="N165" s="75"/>
      <c r="O165" s="171">
        <v>1735</v>
      </c>
      <c r="P165" s="68">
        <v>2</v>
      </c>
      <c r="Q165" s="99">
        <f t="shared" si="25"/>
        <v>17350</v>
      </c>
      <c r="R165" s="99">
        <f t="shared" si="26"/>
        <v>34700</v>
      </c>
      <c r="S165" s="99">
        <f t="shared" si="27"/>
        <v>52050</v>
      </c>
    </row>
    <row r="166" spans="1:19" ht="15.75" x14ac:dyDescent="0.25">
      <c r="A166" s="210"/>
      <c r="B166" s="160"/>
      <c r="C166" s="210"/>
      <c r="D166" s="235"/>
      <c r="E166" s="153"/>
      <c r="F166" s="175"/>
      <c r="G166" s="45"/>
      <c r="H166" s="46"/>
      <c r="I166" s="46"/>
      <c r="J166" s="48"/>
      <c r="K166" s="240"/>
      <c r="L166" s="201"/>
      <c r="M166" s="220"/>
      <c r="N166" s="73"/>
      <c r="O166" s="171" t="s">
        <v>91</v>
      </c>
      <c r="P166" s="143"/>
      <c r="Q166" s="102">
        <f>SUM(Q153:Q165)</f>
        <v>213240</v>
      </c>
      <c r="R166" s="102">
        <f>SUM(R153:R165)</f>
        <v>426480</v>
      </c>
      <c r="S166" s="102">
        <f>SUM(S153:S165)</f>
        <v>639720</v>
      </c>
    </row>
    <row r="167" spans="1:19" ht="15.75" x14ac:dyDescent="0.25">
      <c r="A167" s="210" t="s">
        <v>272</v>
      </c>
      <c r="B167" s="138"/>
      <c r="C167" s="210"/>
      <c r="D167" s="235"/>
      <c r="E167" s="153"/>
      <c r="F167" s="45">
        <v>7</v>
      </c>
      <c r="G167" s="45">
        <v>7</v>
      </c>
      <c r="H167" s="46" t="s">
        <v>127</v>
      </c>
      <c r="I167" s="46" t="s">
        <v>123</v>
      </c>
      <c r="J167" s="48"/>
      <c r="K167" s="240"/>
      <c r="L167" s="201"/>
      <c r="M167" s="220"/>
      <c r="N167" s="73"/>
      <c r="O167" s="171"/>
      <c r="P167" s="246"/>
      <c r="Q167" s="102"/>
      <c r="R167" s="102"/>
      <c r="S167" s="102"/>
    </row>
    <row r="168" spans="1:19" ht="15.75" x14ac:dyDescent="0.25">
      <c r="A168" s="166" t="s">
        <v>367</v>
      </c>
      <c r="B168" s="203" t="s">
        <v>1</v>
      </c>
      <c r="C168" s="203" t="s">
        <v>368</v>
      </c>
      <c r="D168" s="203" t="s">
        <v>3</v>
      </c>
      <c r="E168" s="127" t="s">
        <v>15</v>
      </c>
      <c r="F168" s="21" t="s">
        <v>369</v>
      </c>
      <c r="G168" s="21" t="s">
        <v>370</v>
      </c>
      <c r="H168" s="114"/>
      <c r="I168" s="114"/>
      <c r="J168" s="126" t="s">
        <v>277</v>
      </c>
      <c r="K168" s="21"/>
      <c r="L168" s="21"/>
      <c r="M168" s="127" t="s">
        <v>12</v>
      </c>
      <c r="N168" s="185"/>
      <c r="O168" s="194"/>
      <c r="P168" s="21"/>
      <c r="Q168" s="166"/>
      <c r="R168" s="166"/>
      <c r="S168" s="166"/>
    </row>
    <row r="169" spans="1:19" ht="15.75" x14ac:dyDescent="0.25">
      <c r="A169" s="188" t="s">
        <v>371</v>
      </c>
      <c r="B169" s="54"/>
      <c r="C169" s="175" t="s">
        <v>170</v>
      </c>
      <c r="D169" s="177" t="s">
        <v>170</v>
      </c>
      <c r="E169" s="45">
        <v>2</v>
      </c>
      <c r="F169" s="128" t="s">
        <v>26</v>
      </c>
      <c r="G169" s="129" t="s">
        <v>26</v>
      </c>
      <c r="H169" s="114"/>
      <c r="I169" s="132"/>
      <c r="J169" s="48" t="s">
        <v>101</v>
      </c>
      <c r="K169" s="128">
        <v>46277</v>
      </c>
      <c r="L169" s="129">
        <v>46278</v>
      </c>
      <c r="M169" s="175"/>
      <c r="N169" s="200"/>
      <c r="O169" s="171">
        <v>1735</v>
      </c>
      <c r="P169" s="13">
        <v>2</v>
      </c>
      <c r="Q169" s="99">
        <f>(O169*10)</f>
        <v>17350</v>
      </c>
      <c r="R169" s="99">
        <f>(O169*20)</f>
        <v>34700</v>
      </c>
      <c r="S169" s="99">
        <f>(O169*30)</f>
        <v>52050</v>
      </c>
    </row>
    <row r="170" spans="1:19" ht="15.75" x14ac:dyDescent="0.25">
      <c r="A170" s="188" t="s">
        <v>371</v>
      </c>
      <c r="B170" s="204"/>
      <c r="C170" s="204" t="s">
        <v>170</v>
      </c>
      <c r="D170" s="204" t="s">
        <v>170</v>
      </c>
      <c r="E170" s="141">
        <v>2</v>
      </c>
      <c r="F170" s="142" t="s">
        <v>26</v>
      </c>
      <c r="G170" s="129" t="s">
        <v>26</v>
      </c>
      <c r="H170" s="114"/>
      <c r="I170" s="132"/>
      <c r="J170" s="48" t="s">
        <v>109</v>
      </c>
      <c r="K170" s="128">
        <v>46277</v>
      </c>
      <c r="L170" s="129">
        <v>46278</v>
      </c>
      <c r="M170" s="175"/>
      <c r="N170" s="200"/>
      <c r="O170" s="171">
        <v>1735</v>
      </c>
      <c r="P170" s="13">
        <v>2</v>
      </c>
      <c r="Q170" s="99">
        <f>(O170*10)</f>
        <v>17350</v>
      </c>
      <c r="R170" s="99">
        <f>(O170*20)</f>
        <v>34700</v>
      </c>
      <c r="S170" s="99">
        <f>(O170*30)</f>
        <v>52050</v>
      </c>
    </row>
    <row r="171" spans="1:19" ht="15.75" x14ac:dyDescent="0.25">
      <c r="A171" s="210"/>
      <c r="B171" s="210"/>
      <c r="C171" s="175"/>
      <c r="D171" s="210"/>
      <c r="E171" s="143"/>
      <c r="F171" s="138"/>
      <c r="G171" s="144"/>
      <c r="H171" s="114"/>
      <c r="I171" s="132"/>
      <c r="J171" s="64"/>
      <c r="K171" s="65"/>
      <c r="L171" s="63"/>
      <c r="M171" s="220"/>
      <c r="N171" s="222"/>
      <c r="O171" s="171" t="s">
        <v>91</v>
      </c>
      <c r="P171" s="38"/>
      <c r="Q171" s="99">
        <f>SUM(Q169:Q170)</f>
        <v>34700</v>
      </c>
      <c r="R171" s="99">
        <f>SUM(R169:R170)</f>
        <v>69400</v>
      </c>
      <c r="S171" s="99">
        <f>SUM(S169:S170)</f>
        <v>104100</v>
      </c>
    </row>
    <row r="172" spans="1:19" ht="15.75" x14ac:dyDescent="0.25">
      <c r="A172" s="210" t="s">
        <v>272</v>
      </c>
      <c r="B172" s="210"/>
      <c r="C172" s="210"/>
      <c r="D172" s="235"/>
      <c r="E172" s="153"/>
      <c r="F172" s="45">
        <v>2</v>
      </c>
      <c r="G172" s="45">
        <v>2</v>
      </c>
      <c r="H172" s="46"/>
      <c r="I172" s="46"/>
      <c r="J172" s="48"/>
      <c r="K172" s="240"/>
      <c r="L172" s="201"/>
      <c r="M172" s="220"/>
      <c r="N172" s="73"/>
      <c r="O172" s="164"/>
      <c r="P172" s="161"/>
      <c r="Q172" s="154"/>
      <c r="R172" s="154"/>
      <c r="S172" s="154"/>
    </row>
    <row r="173" spans="1:19" ht="15.75" x14ac:dyDescent="0.25">
      <c r="A173" s="209" t="s">
        <v>372</v>
      </c>
      <c r="B173" s="209"/>
      <c r="C173" s="209" t="s">
        <v>373</v>
      </c>
      <c r="D173" s="209" t="s">
        <v>3</v>
      </c>
      <c r="E173" s="145"/>
      <c r="F173" s="162">
        <v>14</v>
      </c>
      <c r="G173" s="162">
        <v>15</v>
      </c>
      <c r="H173" s="162">
        <v>16</v>
      </c>
      <c r="I173" s="162">
        <v>17</v>
      </c>
      <c r="J173" s="247" t="s">
        <v>374</v>
      </c>
      <c r="K173" s="175"/>
      <c r="L173" s="175"/>
      <c r="M173" s="166"/>
      <c r="N173" s="197"/>
      <c r="O173" s="96"/>
      <c r="P173" s="21"/>
      <c r="Q173" s="166"/>
      <c r="R173" s="166"/>
      <c r="S173" s="166"/>
    </row>
    <row r="174" spans="1:19" ht="15.75" x14ac:dyDescent="0.25">
      <c r="A174" s="168" t="s">
        <v>375</v>
      </c>
      <c r="B174" s="168" t="s">
        <v>376</v>
      </c>
      <c r="C174" s="168" t="s">
        <v>377</v>
      </c>
      <c r="D174" s="168" t="s">
        <v>378</v>
      </c>
      <c r="E174" s="67">
        <v>4</v>
      </c>
      <c r="F174" s="67" t="s">
        <v>26</v>
      </c>
      <c r="G174" s="67" t="s">
        <v>26</v>
      </c>
      <c r="H174" s="81" t="s">
        <v>26</v>
      </c>
      <c r="I174" s="82" t="s">
        <v>26</v>
      </c>
      <c r="J174" s="83" t="s">
        <v>101</v>
      </c>
      <c r="K174" s="248">
        <v>46279</v>
      </c>
      <c r="L174" s="248">
        <v>46282</v>
      </c>
      <c r="M174" s="168" t="s">
        <v>60</v>
      </c>
      <c r="N174" s="249"/>
      <c r="O174" s="171">
        <v>3228</v>
      </c>
      <c r="P174" s="68">
        <v>4</v>
      </c>
      <c r="Q174" s="99">
        <f>(O174*10)</f>
        <v>32280</v>
      </c>
      <c r="R174" s="99">
        <f>(O174*20)</f>
        <v>64560</v>
      </c>
      <c r="S174" s="99">
        <f>(O174*30)</f>
        <v>96840</v>
      </c>
    </row>
    <row r="175" spans="1:19" ht="15.75" x14ac:dyDescent="0.25">
      <c r="A175" s="168" t="s">
        <v>375</v>
      </c>
      <c r="B175" s="60" t="s">
        <v>185</v>
      </c>
      <c r="C175" s="168" t="s">
        <v>186</v>
      </c>
      <c r="D175" s="28" t="s">
        <v>187</v>
      </c>
      <c r="E175" s="68">
        <v>4</v>
      </c>
      <c r="F175" s="68" t="s">
        <v>26</v>
      </c>
      <c r="G175" s="68" t="s">
        <v>26</v>
      </c>
      <c r="H175" s="84" t="s">
        <v>26</v>
      </c>
      <c r="I175" s="85" t="s">
        <v>26</v>
      </c>
      <c r="J175" s="86" t="s">
        <v>109</v>
      </c>
      <c r="K175" s="250">
        <v>46279</v>
      </c>
      <c r="L175" s="250">
        <v>46282</v>
      </c>
      <c r="M175" s="168" t="s">
        <v>379</v>
      </c>
      <c r="N175" s="197"/>
      <c r="O175" s="171">
        <v>3228</v>
      </c>
      <c r="P175" s="68">
        <v>4</v>
      </c>
      <c r="Q175" s="99">
        <f>(O175*10)</f>
        <v>32280</v>
      </c>
      <c r="R175" s="99">
        <f>(O175*20)</f>
        <v>64560</v>
      </c>
      <c r="S175" s="99">
        <f>(O175*30)</f>
        <v>96840</v>
      </c>
    </row>
    <row r="176" spans="1:19" ht="15.75" x14ac:dyDescent="0.25">
      <c r="A176" s="168" t="s">
        <v>375</v>
      </c>
      <c r="B176" s="168" t="s">
        <v>380</v>
      </c>
      <c r="C176" s="168" t="s">
        <v>381</v>
      </c>
      <c r="D176" s="76" t="s">
        <v>382</v>
      </c>
      <c r="E176" s="13">
        <v>4</v>
      </c>
      <c r="F176" s="13" t="s">
        <v>26</v>
      </c>
      <c r="G176" s="13" t="s">
        <v>26</v>
      </c>
      <c r="H176" s="18" t="s">
        <v>26</v>
      </c>
      <c r="I176" s="22" t="s">
        <v>26</v>
      </c>
      <c r="J176" s="86" t="s">
        <v>118</v>
      </c>
      <c r="K176" s="250">
        <v>46279</v>
      </c>
      <c r="L176" s="250">
        <v>46282</v>
      </c>
      <c r="M176" s="168" t="s">
        <v>60</v>
      </c>
      <c r="N176" s="164"/>
      <c r="O176" s="171">
        <v>3228</v>
      </c>
      <c r="P176" s="13">
        <v>4</v>
      </c>
      <c r="Q176" s="99">
        <f>(O176*10)</f>
        <v>32280</v>
      </c>
      <c r="R176" s="99">
        <f>(O176*20)</f>
        <v>64560</v>
      </c>
      <c r="S176" s="99">
        <f>(O176*30)</f>
        <v>96840</v>
      </c>
    </row>
    <row r="177" spans="1:19" ht="15.75" x14ac:dyDescent="0.25">
      <c r="A177" s="168" t="s">
        <v>375</v>
      </c>
      <c r="B177" s="198" t="s">
        <v>383</v>
      </c>
      <c r="C177" s="168" t="s">
        <v>384</v>
      </c>
      <c r="D177" s="168" t="s">
        <v>385</v>
      </c>
      <c r="E177" s="251">
        <v>3</v>
      </c>
      <c r="F177" s="50" t="s">
        <v>26</v>
      </c>
      <c r="G177" s="50" t="s">
        <v>26</v>
      </c>
      <c r="H177" s="51" t="s">
        <v>26</v>
      </c>
      <c r="I177" s="52"/>
      <c r="J177" s="87" t="s">
        <v>123</v>
      </c>
      <c r="K177" s="250">
        <v>46279</v>
      </c>
      <c r="L177" s="252">
        <v>46281</v>
      </c>
      <c r="M177" s="168" t="s">
        <v>215</v>
      </c>
      <c r="N177" s="164"/>
      <c r="O177" s="171">
        <v>2427</v>
      </c>
      <c r="P177" s="68">
        <v>3</v>
      </c>
      <c r="Q177" s="99">
        <f>(O177*10)</f>
        <v>24270</v>
      </c>
      <c r="R177" s="99">
        <f>(O177*20)</f>
        <v>48540</v>
      </c>
      <c r="S177" s="99">
        <f>(O177*30)</f>
        <v>72810</v>
      </c>
    </row>
    <row r="178" spans="1:19" ht="15.75" x14ac:dyDescent="0.25">
      <c r="A178" s="168" t="s">
        <v>375</v>
      </c>
      <c r="B178" s="67" t="s">
        <v>216</v>
      </c>
      <c r="C178" s="168" t="s">
        <v>217</v>
      </c>
      <c r="D178" s="168" t="s">
        <v>214</v>
      </c>
      <c r="E178" s="68">
        <v>1</v>
      </c>
      <c r="F178" s="68"/>
      <c r="G178" s="68"/>
      <c r="H178" s="84"/>
      <c r="I178" s="85" t="s">
        <v>26</v>
      </c>
      <c r="J178" s="78" t="s">
        <v>123</v>
      </c>
      <c r="K178" s="201">
        <v>46282</v>
      </c>
      <c r="L178" s="201">
        <v>46282</v>
      </c>
      <c r="M178" s="172" t="s">
        <v>215</v>
      </c>
      <c r="N178" s="164"/>
      <c r="O178" s="171">
        <v>881</v>
      </c>
      <c r="P178" s="68">
        <v>1</v>
      </c>
      <c r="Q178" s="99">
        <f>(O178*10)</f>
        <v>8810</v>
      </c>
      <c r="R178" s="99">
        <f>(O178*20)</f>
        <v>17620</v>
      </c>
      <c r="S178" s="99">
        <f>(O178*30)</f>
        <v>26430</v>
      </c>
    </row>
    <row r="179" spans="1:19" ht="15.75" x14ac:dyDescent="0.25">
      <c r="A179" s="168" t="s">
        <v>375</v>
      </c>
      <c r="B179" s="88" t="s">
        <v>143</v>
      </c>
      <c r="C179" s="215" t="s">
        <v>144</v>
      </c>
      <c r="D179" s="172" t="s">
        <v>141</v>
      </c>
      <c r="E179" s="67">
        <v>2</v>
      </c>
      <c r="F179" s="13"/>
      <c r="G179" s="13"/>
      <c r="H179" s="18" t="s">
        <v>26</v>
      </c>
      <c r="I179" s="22" t="s">
        <v>26</v>
      </c>
      <c r="J179" s="78" t="s">
        <v>127</v>
      </c>
      <c r="K179" s="201">
        <v>46281</v>
      </c>
      <c r="L179" s="201">
        <v>46282</v>
      </c>
      <c r="M179" s="172" t="s">
        <v>215</v>
      </c>
      <c r="N179" s="164" t="s">
        <v>145</v>
      </c>
      <c r="O179" s="171">
        <v>1735</v>
      </c>
      <c r="P179" s="67">
        <v>2</v>
      </c>
      <c r="Q179" s="99">
        <f t="shared" ref="Q179:Q184" si="28">(O179*10)</f>
        <v>17350</v>
      </c>
      <c r="R179" s="99">
        <f t="shared" ref="R179:R184" si="29">(O179*20)</f>
        <v>34700</v>
      </c>
      <c r="S179" s="99">
        <f t="shared" ref="S179:S184" si="30">(O179*30)</f>
        <v>52050</v>
      </c>
    </row>
    <row r="180" spans="1:19" ht="15.75" x14ac:dyDescent="0.25">
      <c r="A180" s="168" t="s">
        <v>375</v>
      </c>
      <c r="B180" s="168" t="s">
        <v>139</v>
      </c>
      <c r="C180" s="168" t="s">
        <v>386</v>
      </c>
      <c r="D180" s="172" t="s">
        <v>141</v>
      </c>
      <c r="E180" s="68">
        <v>2</v>
      </c>
      <c r="F180" s="68" t="s">
        <v>26</v>
      </c>
      <c r="G180" s="13" t="s">
        <v>26</v>
      </c>
      <c r="H180" s="84"/>
      <c r="I180" s="22"/>
      <c r="J180" s="78" t="s">
        <v>127</v>
      </c>
      <c r="K180" s="250">
        <v>46279</v>
      </c>
      <c r="L180" s="202">
        <v>46280</v>
      </c>
      <c r="M180" s="168" t="s">
        <v>105</v>
      </c>
      <c r="N180" s="164"/>
      <c r="O180" s="171">
        <v>1735</v>
      </c>
      <c r="P180" s="68">
        <v>2</v>
      </c>
      <c r="Q180" s="99">
        <f t="shared" si="28"/>
        <v>17350</v>
      </c>
      <c r="R180" s="99">
        <f t="shared" si="29"/>
        <v>34700</v>
      </c>
      <c r="S180" s="99">
        <f t="shared" si="30"/>
        <v>52050</v>
      </c>
    </row>
    <row r="181" spans="1:19" ht="15.75" x14ac:dyDescent="0.25">
      <c r="A181" s="168" t="s">
        <v>375</v>
      </c>
      <c r="B181" s="68" t="s">
        <v>212</v>
      </c>
      <c r="C181" s="168" t="s">
        <v>213</v>
      </c>
      <c r="D181" s="168" t="s">
        <v>214</v>
      </c>
      <c r="E181" s="68">
        <v>2</v>
      </c>
      <c r="F181" s="68"/>
      <c r="G181" s="13" t="s">
        <v>26</v>
      </c>
      <c r="H181" s="18" t="s">
        <v>26</v>
      </c>
      <c r="I181" s="22"/>
      <c r="J181" s="78" t="s">
        <v>134</v>
      </c>
      <c r="K181" s="202">
        <v>46280</v>
      </c>
      <c r="L181" s="252">
        <v>46281</v>
      </c>
      <c r="M181" s="168" t="s">
        <v>215</v>
      </c>
      <c r="N181" s="164"/>
      <c r="O181" s="171">
        <v>1735</v>
      </c>
      <c r="P181" s="68">
        <v>2</v>
      </c>
      <c r="Q181" s="99">
        <f t="shared" si="28"/>
        <v>17350</v>
      </c>
      <c r="R181" s="99">
        <f t="shared" si="29"/>
        <v>34700</v>
      </c>
      <c r="S181" s="99">
        <f t="shared" si="30"/>
        <v>52050</v>
      </c>
    </row>
    <row r="182" spans="1:19" ht="15.75" x14ac:dyDescent="0.25">
      <c r="A182" s="168" t="s">
        <v>375</v>
      </c>
      <c r="B182" s="168" t="s">
        <v>387</v>
      </c>
      <c r="C182" s="164" t="s">
        <v>388</v>
      </c>
      <c r="D182" s="168" t="s">
        <v>389</v>
      </c>
      <c r="E182" s="68">
        <v>1</v>
      </c>
      <c r="F182" s="13" t="s">
        <v>26</v>
      </c>
      <c r="G182" s="13"/>
      <c r="H182" s="18"/>
      <c r="I182" s="22"/>
      <c r="J182" s="78" t="s">
        <v>134</v>
      </c>
      <c r="K182" s="250">
        <v>46279</v>
      </c>
      <c r="L182" s="250">
        <v>46279</v>
      </c>
      <c r="M182" s="168" t="s">
        <v>60</v>
      </c>
      <c r="N182" s="164"/>
      <c r="O182" s="171">
        <v>881</v>
      </c>
      <c r="P182" s="68">
        <v>1</v>
      </c>
      <c r="Q182" s="99">
        <f t="shared" si="28"/>
        <v>8810</v>
      </c>
      <c r="R182" s="99">
        <f t="shared" si="29"/>
        <v>17620</v>
      </c>
      <c r="S182" s="99">
        <f t="shared" si="30"/>
        <v>26430</v>
      </c>
    </row>
    <row r="183" spans="1:19" ht="15.75" x14ac:dyDescent="0.25">
      <c r="A183" s="168" t="s">
        <v>375</v>
      </c>
      <c r="B183" s="168" t="s">
        <v>390</v>
      </c>
      <c r="C183" s="168" t="s">
        <v>391</v>
      </c>
      <c r="D183" s="168" t="s">
        <v>389</v>
      </c>
      <c r="E183" s="68">
        <v>3</v>
      </c>
      <c r="F183" s="68"/>
      <c r="G183" s="13" t="s">
        <v>26</v>
      </c>
      <c r="H183" s="18" t="s">
        <v>26</v>
      </c>
      <c r="I183" s="22" t="s">
        <v>26</v>
      </c>
      <c r="J183" s="78" t="s">
        <v>142</v>
      </c>
      <c r="K183" s="202">
        <v>46280</v>
      </c>
      <c r="L183" s="201">
        <v>46282</v>
      </c>
      <c r="M183" s="168" t="s">
        <v>392</v>
      </c>
      <c r="N183" s="164"/>
      <c r="O183" s="171">
        <v>2427</v>
      </c>
      <c r="P183" s="68">
        <v>3</v>
      </c>
      <c r="Q183" s="99">
        <f t="shared" si="28"/>
        <v>24270</v>
      </c>
      <c r="R183" s="99">
        <f t="shared" si="29"/>
        <v>48540</v>
      </c>
      <c r="S183" s="99">
        <f t="shared" si="30"/>
        <v>72810</v>
      </c>
    </row>
    <row r="184" spans="1:19" ht="15.75" x14ac:dyDescent="0.25">
      <c r="A184" s="168" t="s">
        <v>375</v>
      </c>
      <c r="B184" s="60" t="s">
        <v>261</v>
      </c>
      <c r="C184" s="164" t="s">
        <v>262</v>
      </c>
      <c r="D184" s="164" t="s">
        <v>148</v>
      </c>
      <c r="E184" s="68">
        <v>3</v>
      </c>
      <c r="F184" s="13" t="s">
        <v>26</v>
      </c>
      <c r="G184" s="13" t="s">
        <v>26</v>
      </c>
      <c r="H184" s="18" t="s">
        <v>26</v>
      </c>
      <c r="I184" s="22"/>
      <c r="J184" s="78" t="s">
        <v>149</v>
      </c>
      <c r="K184" s="250">
        <v>46279</v>
      </c>
      <c r="L184" s="252">
        <v>46281</v>
      </c>
      <c r="M184" s="164" t="s">
        <v>285</v>
      </c>
      <c r="N184" s="218" t="s">
        <v>260</v>
      </c>
      <c r="O184" s="171">
        <v>2427</v>
      </c>
      <c r="P184" s="68">
        <v>3</v>
      </c>
      <c r="Q184" s="99">
        <f t="shared" si="28"/>
        <v>24270</v>
      </c>
      <c r="R184" s="99">
        <f t="shared" si="29"/>
        <v>48540</v>
      </c>
      <c r="S184" s="99">
        <f t="shared" si="30"/>
        <v>72810</v>
      </c>
    </row>
    <row r="185" spans="1:19" ht="15.75" x14ac:dyDescent="0.25">
      <c r="A185" s="172" t="s">
        <v>375</v>
      </c>
      <c r="B185" s="253" t="s">
        <v>258</v>
      </c>
      <c r="C185" s="177" t="s">
        <v>259</v>
      </c>
      <c r="D185" s="164" t="s">
        <v>148</v>
      </c>
      <c r="E185" s="68">
        <v>1</v>
      </c>
      <c r="F185" s="89"/>
      <c r="G185" s="89"/>
      <c r="H185" s="90"/>
      <c r="I185" s="90" t="s">
        <v>26</v>
      </c>
      <c r="J185" s="78" t="s">
        <v>149</v>
      </c>
      <c r="K185" s="201">
        <v>46282</v>
      </c>
      <c r="L185" s="201">
        <v>46282</v>
      </c>
      <c r="M185" s="164" t="s">
        <v>70</v>
      </c>
      <c r="N185" s="218" t="s">
        <v>260</v>
      </c>
      <c r="O185" s="171">
        <v>881</v>
      </c>
      <c r="P185" s="68">
        <v>1</v>
      </c>
      <c r="Q185" s="99">
        <f>(O185*10)</f>
        <v>8810</v>
      </c>
      <c r="R185" s="99">
        <f>(O185*20)</f>
        <v>17620</v>
      </c>
      <c r="S185" s="99">
        <f>(O185*30)</f>
        <v>26430</v>
      </c>
    </row>
    <row r="186" spans="1:19" ht="15.75" x14ac:dyDescent="0.25">
      <c r="A186" s="210" t="s">
        <v>375</v>
      </c>
      <c r="B186" s="229" t="s">
        <v>350</v>
      </c>
      <c r="C186" s="229" t="s">
        <v>351</v>
      </c>
      <c r="D186" s="192" t="s">
        <v>352</v>
      </c>
      <c r="E186" s="68">
        <v>2</v>
      </c>
      <c r="F186" s="68" t="s">
        <v>26</v>
      </c>
      <c r="G186" s="13" t="s">
        <v>26</v>
      </c>
      <c r="H186" s="18"/>
      <c r="I186" s="22"/>
      <c r="J186" s="78" t="s">
        <v>158</v>
      </c>
      <c r="K186" s="250">
        <v>46279</v>
      </c>
      <c r="L186" s="202">
        <v>46280</v>
      </c>
      <c r="M186" s="164" t="s">
        <v>215</v>
      </c>
      <c r="N186" s="164" t="s">
        <v>393</v>
      </c>
      <c r="O186" s="171">
        <v>1735</v>
      </c>
      <c r="P186" s="68">
        <v>2</v>
      </c>
      <c r="Q186" s="99">
        <f>(O186*10)</f>
        <v>17350</v>
      </c>
      <c r="R186" s="99">
        <f>(O186*20)</f>
        <v>34700</v>
      </c>
      <c r="S186" s="99">
        <f>(O186*30)</f>
        <v>52050</v>
      </c>
    </row>
    <row r="187" spans="1:19" ht="15.75" x14ac:dyDescent="0.25">
      <c r="A187" s="210" t="s">
        <v>375</v>
      </c>
      <c r="B187" s="206" t="s">
        <v>170</v>
      </c>
      <c r="C187" s="206"/>
      <c r="D187" s="192" t="s">
        <v>352</v>
      </c>
      <c r="E187" s="68">
        <v>2</v>
      </c>
      <c r="F187" s="68"/>
      <c r="G187" s="13"/>
      <c r="H187" s="18" t="s">
        <v>26</v>
      </c>
      <c r="I187" s="22" t="s">
        <v>26</v>
      </c>
      <c r="J187" s="78" t="s">
        <v>158</v>
      </c>
      <c r="K187" s="252">
        <v>46281</v>
      </c>
      <c r="L187" s="201">
        <v>46282</v>
      </c>
      <c r="M187" s="164" t="s">
        <v>215</v>
      </c>
      <c r="N187" s="164" t="s">
        <v>393</v>
      </c>
      <c r="O187" s="171">
        <v>0</v>
      </c>
      <c r="P187" s="68">
        <v>2</v>
      </c>
      <c r="Q187" s="99">
        <f>(O187*10)</f>
        <v>0</v>
      </c>
      <c r="R187" s="99">
        <f>(O187*20)</f>
        <v>0</v>
      </c>
      <c r="S187" s="99">
        <f>(O187*30)</f>
        <v>0</v>
      </c>
    </row>
    <row r="188" spans="1:19" ht="15.75" x14ac:dyDescent="0.25">
      <c r="A188" s="182" t="s">
        <v>375</v>
      </c>
      <c r="B188" s="176" t="s">
        <v>336</v>
      </c>
      <c r="C188" s="176" t="s">
        <v>337</v>
      </c>
      <c r="D188" s="164" t="s">
        <v>338</v>
      </c>
      <c r="E188" s="68">
        <v>2</v>
      </c>
      <c r="F188" s="13" t="s">
        <v>26</v>
      </c>
      <c r="G188" s="13" t="s">
        <v>26</v>
      </c>
      <c r="H188" s="18"/>
      <c r="I188" s="22"/>
      <c r="J188" s="78" t="s">
        <v>162</v>
      </c>
      <c r="K188" s="250">
        <v>46279</v>
      </c>
      <c r="L188" s="202">
        <v>46280</v>
      </c>
      <c r="M188" s="164"/>
      <c r="N188" s="164"/>
      <c r="O188" s="171">
        <v>1735</v>
      </c>
      <c r="P188" s="68">
        <v>2</v>
      </c>
      <c r="Q188" s="99">
        <f>(O188*10)</f>
        <v>17350</v>
      </c>
      <c r="R188" s="99">
        <f>(O188*20)</f>
        <v>34700</v>
      </c>
      <c r="S188" s="99">
        <f>(O188*30)</f>
        <v>52050</v>
      </c>
    </row>
    <row r="189" spans="1:19" ht="15.75" x14ac:dyDescent="0.25">
      <c r="A189" s="168"/>
      <c r="B189" s="168"/>
      <c r="C189" s="168"/>
      <c r="D189" s="168"/>
      <c r="E189" s="68"/>
      <c r="F189" s="68"/>
      <c r="G189" s="13"/>
      <c r="H189" s="18"/>
      <c r="I189" s="22"/>
      <c r="J189" s="78"/>
      <c r="K189" s="175"/>
      <c r="L189" s="186"/>
      <c r="M189" s="168"/>
      <c r="N189" s="164"/>
      <c r="O189" s="171" t="s">
        <v>91</v>
      </c>
      <c r="P189" s="68"/>
      <c r="Q189" s="99">
        <f>SUM(Q174:Q188)</f>
        <v>282830</v>
      </c>
      <c r="R189" s="99">
        <f>SUM(R174:R188)</f>
        <v>565660</v>
      </c>
      <c r="S189" s="99">
        <f>SUM(S174:S188)</f>
        <v>848490</v>
      </c>
    </row>
    <row r="190" spans="1:19" ht="15.75" x14ac:dyDescent="0.25">
      <c r="A190" s="168" t="s">
        <v>272</v>
      </c>
      <c r="B190" s="168"/>
      <c r="C190" s="168"/>
      <c r="D190" s="168"/>
      <c r="E190" s="68"/>
      <c r="F190" s="68">
        <v>9</v>
      </c>
      <c r="G190" s="13">
        <v>10</v>
      </c>
      <c r="H190" s="18" t="s">
        <v>162</v>
      </c>
      <c r="I190" s="14">
        <v>9</v>
      </c>
      <c r="J190" s="78"/>
      <c r="K190" s="175"/>
      <c r="L190" s="186"/>
      <c r="M190" s="168"/>
      <c r="N190" s="164"/>
      <c r="O190" s="164"/>
      <c r="P190" s="68"/>
      <c r="Q190" s="164"/>
      <c r="R190" s="168"/>
      <c r="S190" s="168"/>
    </row>
    <row r="191" spans="1:19" ht="15.75" x14ac:dyDescent="0.25">
      <c r="A191" s="166" t="s">
        <v>394</v>
      </c>
      <c r="B191" s="166"/>
      <c r="C191" s="166" t="s">
        <v>395</v>
      </c>
      <c r="D191" s="166" t="s">
        <v>3</v>
      </c>
      <c r="E191" s="21"/>
      <c r="F191" s="21">
        <v>26</v>
      </c>
      <c r="G191" s="21">
        <v>27</v>
      </c>
      <c r="H191" s="114" t="s">
        <v>396</v>
      </c>
      <c r="I191" s="114" t="s">
        <v>397</v>
      </c>
      <c r="J191" s="241" t="s">
        <v>374</v>
      </c>
      <c r="K191" s="235"/>
      <c r="L191" s="235"/>
      <c r="M191" s="166"/>
      <c r="N191" s="254"/>
      <c r="O191" s="166"/>
      <c r="P191" s="21"/>
      <c r="Q191" s="166"/>
      <c r="R191" s="166"/>
      <c r="S191" s="166"/>
    </row>
    <row r="192" spans="1:19" ht="15.75" x14ac:dyDescent="0.25">
      <c r="A192" s="164" t="s">
        <v>398</v>
      </c>
      <c r="B192" s="164" t="s">
        <v>160</v>
      </c>
      <c r="C192" s="168" t="s">
        <v>161</v>
      </c>
      <c r="D192" s="164" t="s">
        <v>399</v>
      </c>
      <c r="E192" s="13">
        <v>4</v>
      </c>
      <c r="F192" s="13" t="s">
        <v>26</v>
      </c>
      <c r="G192" s="13" t="s">
        <v>26</v>
      </c>
      <c r="H192" s="13" t="s">
        <v>26</v>
      </c>
      <c r="I192" s="22" t="s">
        <v>26</v>
      </c>
      <c r="J192" s="23" t="s">
        <v>101</v>
      </c>
      <c r="K192" s="201">
        <v>46321</v>
      </c>
      <c r="L192" s="201">
        <v>46324</v>
      </c>
      <c r="M192" s="164" t="s">
        <v>105</v>
      </c>
      <c r="N192" s="249"/>
      <c r="O192" s="171">
        <v>3228</v>
      </c>
      <c r="P192" s="13">
        <v>4</v>
      </c>
      <c r="Q192" s="99">
        <f>(O192*10)</f>
        <v>32280</v>
      </c>
      <c r="R192" s="99">
        <f>(O192*20)</f>
        <v>64560</v>
      </c>
      <c r="S192" s="99">
        <f>(O192*30)</f>
        <v>96840</v>
      </c>
    </row>
    <row r="193" spans="1:19" ht="15.75" x14ac:dyDescent="0.25">
      <c r="A193" s="164" t="s">
        <v>398</v>
      </c>
      <c r="B193" s="164" t="s">
        <v>115</v>
      </c>
      <c r="C193" s="164" t="s">
        <v>116</v>
      </c>
      <c r="D193" s="164" t="s">
        <v>389</v>
      </c>
      <c r="E193" s="13">
        <v>2</v>
      </c>
      <c r="F193" s="91" t="s">
        <v>26</v>
      </c>
      <c r="G193" s="91" t="s">
        <v>26</v>
      </c>
      <c r="H193" s="13"/>
      <c r="I193" s="22"/>
      <c r="J193" s="23" t="s">
        <v>109</v>
      </c>
      <c r="K193" s="201">
        <v>46321</v>
      </c>
      <c r="L193" s="201">
        <v>46322</v>
      </c>
      <c r="M193" s="164" t="s">
        <v>89</v>
      </c>
      <c r="N193" s="197"/>
      <c r="O193" s="171">
        <v>1735</v>
      </c>
      <c r="P193" s="13">
        <v>2</v>
      </c>
      <c r="Q193" s="99">
        <f>(O193*10)</f>
        <v>17350</v>
      </c>
      <c r="R193" s="99">
        <f>(O193*20)</f>
        <v>34700</v>
      </c>
      <c r="S193" s="99">
        <f>(O193*30)</f>
        <v>52050</v>
      </c>
    </row>
    <row r="194" spans="1:19" ht="15.75" x14ac:dyDescent="0.25">
      <c r="A194" s="164" t="s">
        <v>398</v>
      </c>
      <c r="B194" s="164" t="s">
        <v>119</v>
      </c>
      <c r="C194" s="164" t="s">
        <v>120</v>
      </c>
      <c r="D194" s="164" t="s">
        <v>389</v>
      </c>
      <c r="E194" s="13">
        <v>2</v>
      </c>
      <c r="F194" s="91"/>
      <c r="G194" s="91"/>
      <c r="H194" s="13" t="s">
        <v>26</v>
      </c>
      <c r="I194" s="22" t="s">
        <v>26</v>
      </c>
      <c r="J194" s="23" t="s">
        <v>109</v>
      </c>
      <c r="K194" s="201">
        <v>46323</v>
      </c>
      <c r="L194" s="201">
        <v>46324</v>
      </c>
      <c r="M194" s="164" t="s">
        <v>89</v>
      </c>
      <c r="N194" s="197"/>
      <c r="O194" s="171">
        <v>1735</v>
      </c>
      <c r="P194" s="13">
        <v>2</v>
      </c>
      <c r="Q194" s="99">
        <f>(O194*10)</f>
        <v>17350</v>
      </c>
      <c r="R194" s="99">
        <f>(O194*20)</f>
        <v>34700</v>
      </c>
      <c r="S194" s="99">
        <f>(O194*30)</f>
        <v>52050</v>
      </c>
    </row>
    <row r="195" spans="1:19" ht="15.75" x14ac:dyDescent="0.25">
      <c r="A195" s="164" t="s">
        <v>398</v>
      </c>
      <c r="B195" s="177" t="s">
        <v>71</v>
      </c>
      <c r="C195" s="177" t="s">
        <v>72</v>
      </c>
      <c r="D195" s="164" t="s">
        <v>73</v>
      </c>
      <c r="E195" s="13">
        <v>2</v>
      </c>
      <c r="F195" s="91" t="s">
        <v>26</v>
      </c>
      <c r="G195" s="91" t="s">
        <v>26</v>
      </c>
      <c r="H195" s="13"/>
      <c r="I195" s="22"/>
      <c r="J195" s="23" t="s">
        <v>118</v>
      </c>
      <c r="K195" s="201">
        <v>46321</v>
      </c>
      <c r="L195" s="201">
        <v>46322</v>
      </c>
      <c r="M195" s="164" t="s">
        <v>89</v>
      </c>
      <c r="N195" s="192"/>
      <c r="O195" s="171">
        <v>1735</v>
      </c>
      <c r="P195" s="13">
        <v>2</v>
      </c>
      <c r="Q195" s="99">
        <f>(O195*10)</f>
        <v>17350</v>
      </c>
      <c r="R195" s="99">
        <f>(O195*20)</f>
        <v>34700</v>
      </c>
      <c r="S195" s="99">
        <f>(O195*30)</f>
        <v>52050</v>
      </c>
    </row>
    <row r="196" spans="1:19" ht="15.75" x14ac:dyDescent="0.25">
      <c r="A196" s="188" t="s">
        <v>398</v>
      </c>
      <c r="B196" s="210" t="s">
        <v>36</v>
      </c>
      <c r="C196" s="229" t="s">
        <v>400</v>
      </c>
      <c r="D196" s="223" t="s">
        <v>38</v>
      </c>
      <c r="E196" s="13">
        <v>1</v>
      </c>
      <c r="F196" s="13" t="s">
        <v>26</v>
      </c>
      <c r="G196" s="13"/>
      <c r="H196" s="13"/>
      <c r="I196" s="22"/>
      <c r="J196" s="23" t="s">
        <v>123</v>
      </c>
      <c r="K196" s="201">
        <v>46321</v>
      </c>
      <c r="L196" s="201">
        <v>46321</v>
      </c>
      <c r="M196" s="168" t="s">
        <v>41</v>
      </c>
      <c r="N196" s="197"/>
      <c r="O196" s="171">
        <v>881</v>
      </c>
      <c r="P196" s="13">
        <v>1</v>
      </c>
      <c r="Q196" s="99">
        <f>(O196*10)</f>
        <v>8810</v>
      </c>
      <c r="R196" s="99">
        <f>(O196*20)</f>
        <v>17620</v>
      </c>
      <c r="S196" s="99">
        <f>(O196*30)</f>
        <v>26430</v>
      </c>
    </row>
    <row r="197" spans="1:19" ht="15.75" x14ac:dyDescent="0.25">
      <c r="A197" s="188" t="s">
        <v>398</v>
      </c>
      <c r="B197" s="210" t="s">
        <v>270</v>
      </c>
      <c r="C197" s="175" t="s">
        <v>271</v>
      </c>
      <c r="D197" s="223" t="s">
        <v>38</v>
      </c>
      <c r="E197" s="13">
        <v>2</v>
      </c>
      <c r="F197" s="13"/>
      <c r="G197" s="13" t="s">
        <v>26</v>
      </c>
      <c r="H197" s="13" t="s">
        <v>26</v>
      </c>
      <c r="I197" s="22"/>
      <c r="J197" s="23" t="s">
        <v>123</v>
      </c>
      <c r="K197" s="201">
        <v>46322</v>
      </c>
      <c r="L197" s="201">
        <v>46323</v>
      </c>
      <c r="M197" s="220" t="s">
        <v>70</v>
      </c>
      <c r="N197" s="197"/>
      <c r="O197" s="171">
        <v>1735</v>
      </c>
      <c r="P197" s="13">
        <v>2</v>
      </c>
      <c r="Q197" s="99">
        <f t="shared" ref="Q197:Q202" si="31">(O197*10)</f>
        <v>17350</v>
      </c>
      <c r="R197" s="99">
        <f t="shared" ref="R197:R202" si="32">(O197*20)</f>
        <v>34700</v>
      </c>
      <c r="S197" s="99">
        <f t="shared" ref="S197:S202" si="33">(O197*30)</f>
        <v>52050</v>
      </c>
    </row>
    <row r="198" spans="1:19" ht="15.75" x14ac:dyDescent="0.25">
      <c r="A198" s="164" t="s">
        <v>398</v>
      </c>
      <c r="B198" s="163" t="s">
        <v>218</v>
      </c>
      <c r="C198" s="176" t="s">
        <v>219</v>
      </c>
      <c r="D198" s="164" t="s">
        <v>401</v>
      </c>
      <c r="E198" s="13">
        <v>2</v>
      </c>
      <c r="F198" s="13"/>
      <c r="G198" s="13"/>
      <c r="H198" s="13" t="s">
        <v>26</v>
      </c>
      <c r="I198" s="22" t="s">
        <v>26</v>
      </c>
      <c r="J198" s="23" t="s">
        <v>127</v>
      </c>
      <c r="K198" s="201">
        <v>46323</v>
      </c>
      <c r="L198" s="201">
        <v>46324</v>
      </c>
      <c r="M198" s="164" t="s">
        <v>402</v>
      </c>
      <c r="N198" s="197"/>
      <c r="O198" s="171">
        <v>1735</v>
      </c>
      <c r="P198" s="13">
        <v>2</v>
      </c>
      <c r="Q198" s="99">
        <f t="shared" si="31"/>
        <v>17350</v>
      </c>
      <c r="R198" s="99">
        <f t="shared" si="32"/>
        <v>34700</v>
      </c>
      <c r="S198" s="99">
        <f t="shared" si="33"/>
        <v>52050</v>
      </c>
    </row>
    <row r="199" spans="1:19" ht="15.75" x14ac:dyDescent="0.25">
      <c r="A199" s="164" t="s">
        <v>398</v>
      </c>
      <c r="B199" s="164" t="s">
        <v>170</v>
      </c>
      <c r="C199" s="169"/>
      <c r="D199" s="211"/>
      <c r="E199" s="13">
        <v>2</v>
      </c>
      <c r="F199" s="13" t="s">
        <v>26</v>
      </c>
      <c r="G199" s="13" t="s">
        <v>26</v>
      </c>
      <c r="H199" s="13"/>
      <c r="I199" s="22"/>
      <c r="J199" s="23" t="s">
        <v>127</v>
      </c>
      <c r="K199" s="201">
        <v>46321</v>
      </c>
      <c r="L199" s="201">
        <v>46322</v>
      </c>
      <c r="M199" s="169" t="s">
        <v>60</v>
      </c>
      <c r="N199" s="164" t="s">
        <v>393</v>
      </c>
      <c r="O199" s="171">
        <v>0</v>
      </c>
      <c r="P199" s="13">
        <v>2</v>
      </c>
      <c r="Q199" s="99">
        <f t="shared" si="31"/>
        <v>0</v>
      </c>
      <c r="R199" s="99">
        <f t="shared" si="32"/>
        <v>0</v>
      </c>
      <c r="S199" s="99">
        <f t="shared" si="33"/>
        <v>0</v>
      </c>
    </row>
    <row r="200" spans="1:19" ht="15.75" x14ac:dyDescent="0.25">
      <c r="A200" s="164" t="s">
        <v>398</v>
      </c>
      <c r="B200" s="164" t="s">
        <v>170</v>
      </c>
      <c r="C200" s="211" t="s">
        <v>247</v>
      </c>
      <c r="D200" s="211"/>
      <c r="E200" s="13">
        <v>2</v>
      </c>
      <c r="F200" s="13" t="s">
        <v>26</v>
      </c>
      <c r="G200" s="13" t="s">
        <v>26</v>
      </c>
      <c r="H200" s="13"/>
      <c r="I200" s="22"/>
      <c r="J200" s="23" t="s">
        <v>134</v>
      </c>
      <c r="K200" s="201">
        <v>46321</v>
      </c>
      <c r="L200" s="201">
        <v>46322</v>
      </c>
      <c r="M200" s="211" t="s">
        <v>403</v>
      </c>
      <c r="N200" s="164" t="s">
        <v>393</v>
      </c>
      <c r="O200" s="171">
        <v>0</v>
      </c>
      <c r="P200" s="13">
        <v>2</v>
      </c>
      <c r="Q200" s="99">
        <f t="shared" si="31"/>
        <v>0</v>
      </c>
      <c r="R200" s="99">
        <f t="shared" si="32"/>
        <v>0</v>
      </c>
      <c r="S200" s="99">
        <f t="shared" si="33"/>
        <v>0</v>
      </c>
    </row>
    <row r="201" spans="1:19" ht="15.75" x14ac:dyDescent="0.25">
      <c r="A201" s="164" t="s">
        <v>398</v>
      </c>
      <c r="B201" s="164" t="s">
        <v>404</v>
      </c>
      <c r="C201" s="164" t="s">
        <v>405</v>
      </c>
      <c r="D201" s="164" t="s">
        <v>34</v>
      </c>
      <c r="E201" s="13">
        <v>2</v>
      </c>
      <c r="F201" s="13"/>
      <c r="G201" s="13"/>
      <c r="H201" s="13" t="s">
        <v>26</v>
      </c>
      <c r="I201" s="22" t="s">
        <v>26</v>
      </c>
      <c r="J201" s="23" t="s">
        <v>134</v>
      </c>
      <c r="K201" s="201">
        <v>46323</v>
      </c>
      <c r="L201" s="201">
        <v>46324</v>
      </c>
      <c r="M201" s="164" t="s">
        <v>406</v>
      </c>
      <c r="N201" s="197"/>
      <c r="O201" s="171">
        <v>1735</v>
      </c>
      <c r="P201" s="13">
        <v>2</v>
      </c>
      <c r="Q201" s="99">
        <f t="shared" si="31"/>
        <v>17350</v>
      </c>
      <c r="R201" s="99">
        <f t="shared" si="32"/>
        <v>34700</v>
      </c>
      <c r="S201" s="99">
        <f t="shared" si="33"/>
        <v>52050</v>
      </c>
    </row>
    <row r="202" spans="1:19" ht="15.75" x14ac:dyDescent="0.25">
      <c r="A202" s="164" t="s">
        <v>398</v>
      </c>
      <c r="B202" s="24" t="s">
        <v>61</v>
      </c>
      <c r="C202" s="34" t="s">
        <v>62</v>
      </c>
      <c r="D202" s="34" t="s">
        <v>63</v>
      </c>
      <c r="E202" s="13">
        <v>2</v>
      </c>
      <c r="F202" s="13" t="s">
        <v>26</v>
      </c>
      <c r="G202" s="13" t="s">
        <v>26</v>
      </c>
      <c r="H202" s="13"/>
      <c r="I202" s="22"/>
      <c r="J202" s="23" t="s">
        <v>142</v>
      </c>
      <c r="K202" s="201">
        <v>46321</v>
      </c>
      <c r="L202" s="201">
        <v>46322</v>
      </c>
      <c r="M202" s="13" t="s">
        <v>41</v>
      </c>
      <c r="N202" s="197" t="s">
        <v>407</v>
      </c>
      <c r="O202" s="171">
        <v>1735</v>
      </c>
      <c r="P202" s="13">
        <v>2</v>
      </c>
      <c r="Q202" s="99">
        <f t="shared" si="31"/>
        <v>17350</v>
      </c>
      <c r="R202" s="99">
        <f t="shared" si="32"/>
        <v>34700</v>
      </c>
      <c r="S202" s="99">
        <f t="shared" si="33"/>
        <v>52050</v>
      </c>
    </row>
    <row r="203" spans="1:19" ht="15.75" x14ac:dyDescent="0.25">
      <c r="A203" s="177" t="s">
        <v>398</v>
      </c>
      <c r="B203" s="177" t="s">
        <v>408</v>
      </c>
      <c r="C203" s="177" t="s">
        <v>409</v>
      </c>
      <c r="D203" s="34" t="s">
        <v>63</v>
      </c>
      <c r="E203" s="13">
        <v>1</v>
      </c>
      <c r="F203" s="164"/>
      <c r="G203" s="164"/>
      <c r="H203" s="13" t="s">
        <v>26</v>
      </c>
      <c r="I203" s="22"/>
      <c r="J203" s="23" t="s">
        <v>142</v>
      </c>
      <c r="K203" s="201">
        <v>46323</v>
      </c>
      <c r="L203" s="201">
        <v>46323</v>
      </c>
      <c r="M203" s="91" t="s">
        <v>41</v>
      </c>
      <c r="N203" s="197" t="s">
        <v>407</v>
      </c>
      <c r="O203" s="171">
        <v>881</v>
      </c>
      <c r="P203" s="13">
        <v>1</v>
      </c>
      <c r="Q203" s="99">
        <f>(O203*10)</f>
        <v>8810</v>
      </c>
      <c r="R203" s="99">
        <f>(O203*20)</f>
        <v>17620</v>
      </c>
      <c r="S203" s="99">
        <f>(O203*30)</f>
        <v>26430</v>
      </c>
    </row>
    <row r="204" spans="1:19" ht="15.75" x14ac:dyDescent="0.25">
      <c r="A204" s="175" t="s">
        <v>398</v>
      </c>
      <c r="B204" s="229" t="s">
        <v>350</v>
      </c>
      <c r="C204" s="229" t="s">
        <v>351</v>
      </c>
      <c r="D204" s="192" t="s">
        <v>352</v>
      </c>
      <c r="E204" s="13">
        <v>2</v>
      </c>
      <c r="F204" s="13" t="s">
        <v>26</v>
      </c>
      <c r="G204" s="13" t="s">
        <v>26</v>
      </c>
      <c r="H204" s="13"/>
      <c r="I204" s="22"/>
      <c r="J204" s="23" t="s">
        <v>149</v>
      </c>
      <c r="K204" s="201">
        <v>46321</v>
      </c>
      <c r="L204" s="201">
        <v>46322</v>
      </c>
      <c r="M204" s="164" t="s">
        <v>215</v>
      </c>
      <c r="N204" s="164" t="s">
        <v>393</v>
      </c>
      <c r="O204" s="171">
        <v>1735</v>
      </c>
      <c r="P204" s="13">
        <v>2</v>
      </c>
      <c r="Q204" s="99">
        <f t="shared" ref="Q204:Q209" si="34">(O204*10)</f>
        <v>17350</v>
      </c>
      <c r="R204" s="99">
        <f t="shared" ref="R204:R209" si="35">(O204*20)</f>
        <v>34700</v>
      </c>
      <c r="S204" s="99">
        <f t="shared" ref="S204:S209" si="36">(O204*30)</f>
        <v>52050</v>
      </c>
    </row>
    <row r="205" spans="1:19" ht="15.75" x14ac:dyDescent="0.25">
      <c r="A205" s="175" t="s">
        <v>398</v>
      </c>
      <c r="B205" s="206" t="s">
        <v>170</v>
      </c>
      <c r="C205" s="206"/>
      <c r="D205" s="192" t="s">
        <v>352</v>
      </c>
      <c r="E205" s="13">
        <v>2</v>
      </c>
      <c r="F205" s="164"/>
      <c r="G205" s="164"/>
      <c r="H205" s="13" t="s">
        <v>26</v>
      </c>
      <c r="I205" s="22" t="s">
        <v>26</v>
      </c>
      <c r="J205" s="23" t="s">
        <v>149</v>
      </c>
      <c r="K205" s="201">
        <v>46323</v>
      </c>
      <c r="L205" s="201">
        <v>46324</v>
      </c>
      <c r="M205" s="164" t="s">
        <v>215</v>
      </c>
      <c r="N205" s="164" t="s">
        <v>393</v>
      </c>
      <c r="O205" s="171">
        <v>1735</v>
      </c>
      <c r="P205" s="13">
        <v>2</v>
      </c>
      <c r="Q205" s="99">
        <f t="shared" si="34"/>
        <v>17350</v>
      </c>
      <c r="R205" s="99">
        <f t="shared" si="35"/>
        <v>34700</v>
      </c>
      <c r="S205" s="99">
        <f t="shared" si="36"/>
        <v>52050</v>
      </c>
    </row>
    <row r="206" spans="1:19" ht="15.75" x14ac:dyDescent="0.25">
      <c r="A206" s="176" t="s">
        <v>398</v>
      </c>
      <c r="B206" s="176" t="s">
        <v>410</v>
      </c>
      <c r="C206" s="176" t="s">
        <v>411</v>
      </c>
      <c r="D206" s="164" t="s">
        <v>412</v>
      </c>
      <c r="E206" s="13">
        <v>2</v>
      </c>
      <c r="F206" s="13" t="s">
        <v>26</v>
      </c>
      <c r="G206" s="13" t="s">
        <v>26</v>
      </c>
      <c r="H206" s="13"/>
      <c r="I206" s="22"/>
      <c r="J206" s="23" t="s">
        <v>158</v>
      </c>
      <c r="K206" s="201">
        <v>46321</v>
      </c>
      <c r="L206" s="201">
        <v>46322</v>
      </c>
      <c r="M206" s="164" t="s">
        <v>298</v>
      </c>
      <c r="N206" s="197"/>
      <c r="O206" s="171">
        <v>1735</v>
      </c>
      <c r="P206" s="13">
        <v>2</v>
      </c>
      <c r="Q206" s="99">
        <f t="shared" si="34"/>
        <v>17350</v>
      </c>
      <c r="R206" s="99">
        <f t="shared" si="35"/>
        <v>34700</v>
      </c>
      <c r="S206" s="99">
        <f t="shared" si="36"/>
        <v>52050</v>
      </c>
    </row>
    <row r="207" spans="1:19" ht="15.75" x14ac:dyDescent="0.25">
      <c r="A207" s="164" t="s">
        <v>398</v>
      </c>
      <c r="B207" s="164" t="s">
        <v>413</v>
      </c>
      <c r="C207" s="164" t="s">
        <v>414</v>
      </c>
      <c r="D207" s="164" t="s">
        <v>412</v>
      </c>
      <c r="E207" s="13">
        <v>2</v>
      </c>
      <c r="F207" s="13"/>
      <c r="G207" s="13"/>
      <c r="H207" s="13" t="s">
        <v>26</v>
      </c>
      <c r="I207" s="22" t="s">
        <v>26</v>
      </c>
      <c r="J207" s="23" t="s">
        <v>158</v>
      </c>
      <c r="K207" s="201">
        <v>46323</v>
      </c>
      <c r="L207" s="201">
        <v>46324</v>
      </c>
      <c r="M207" s="164" t="s">
        <v>415</v>
      </c>
      <c r="N207" s="197"/>
      <c r="O207" s="171">
        <v>1735</v>
      </c>
      <c r="P207" s="13">
        <v>2</v>
      </c>
      <c r="Q207" s="99">
        <f t="shared" si="34"/>
        <v>17350</v>
      </c>
      <c r="R207" s="99">
        <f t="shared" si="35"/>
        <v>34700</v>
      </c>
      <c r="S207" s="99">
        <f t="shared" si="36"/>
        <v>52050</v>
      </c>
    </row>
    <row r="208" spans="1:19" ht="15.75" x14ac:dyDescent="0.25">
      <c r="A208" s="164" t="s">
        <v>398</v>
      </c>
      <c r="B208" s="164" t="s">
        <v>111</v>
      </c>
      <c r="C208" s="164" t="s">
        <v>112</v>
      </c>
      <c r="D208" s="164" t="s">
        <v>416</v>
      </c>
      <c r="E208" s="13">
        <v>2</v>
      </c>
      <c r="F208" s="13" t="s">
        <v>26</v>
      </c>
      <c r="G208" s="13" t="s">
        <v>26</v>
      </c>
      <c r="H208" s="13"/>
      <c r="I208" s="22"/>
      <c r="J208" s="23" t="s">
        <v>162</v>
      </c>
      <c r="K208" s="201">
        <v>46321</v>
      </c>
      <c r="L208" s="201">
        <v>46322</v>
      </c>
      <c r="M208" s="164" t="s">
        <v>417</v>
      </c>
      <c r="N208" s="196" t="s">
        <v>114</v>
      </c>
      <c r="O208" s="171">
        <v>1735</v>
      </c>
      <c r="P208" s="13">
        <v>2</v>
      </c>
      <c r="Q208" s="99">
        <f t="shared" si="34"/>
        <v>17350</v>
      </c>
      <c r="R208" s="99">
        <f t="shared" si="35"/>
        <v>34700</v>
      </c>
      <c r="S208" s="99">
        <f t="shared" si="36"/>
        <v>52050</v>
      </c>
    </row>
    <row r="209" spans="1:19" ht="15.75" x14ac:dyDescent="0.25">
      <c r="A209" s="164" t="s">
        <v>398</v>
      </c>
      <c r="B209" s="164" t="s">
        <v>106</v>
      </c>
      <c r="C209" s="164" t="s">
        <v>107</v>
      </c>
      <c r="D209" s="164" t="s">
        <v>418</v>
      </c>
      <c r="E209" s="13">
        <v>2</v>
      </c>
      <c r="F209" s="13"/>
      <c r="G209" s="13"/>
      <c r="H209" s="13" t="s">
        <v>26</v>
      </c>
      <c r="I209" s="22" t="s">
        <v>26</v>
      </c>
      <c r="J209" s="23" t="s">
        <v>162</v>
      </c>
      <c r="K209" s="201">
        <v>46323</v>
      </c>
      <c r="L209" s="201">
        <v>46324</v>
      </c>
      <c r="M209" s="164" t="s">
        <v>417</v>
      </c>
      <c r="N209" s="196" t="s">
        <v>110</v>
      </c>
      <c r="O209" s="171">
        <v>1735</v>
      </c>
      <c r="P209" s="13">
        <v>2</v>
      </c>
      <c r="Q209" s="99">
        <f t="shared" si="34"/>
        <v>17350</v>
      </c>
      <c r="R209" s="99">
        <f t="shared" si="35"/>
        <v>34700</v>
      </c>
      <c r="S209" s="99">
        <f t="shared" si="36"/>
        <v>52050</v>
      </c>
    </row>
    <row r="210" spans="1:19" ht="15.75" x14ac:dyDescent="0.25">
      <c r="A210" s="164"/>
      <c r="B210" s="164"/>
      <c r="C210" s="164"/>
      <c r="D210" s="164"/>
      <c r="E210" s="13"/>
      <c r="F210" s="13"/>
      <c r="G210" s="13"/>
      <c r="H210" s="13"/>
      <c r="I210" s="22"/>
      <c r="J210" s="23"/>
      <c r="K210" s="175"/>
      <c r="L210" s="175"/>
      <c r="M210" s="164"/>
      <c r="N210" s="196"/>
      <c r="O210" s="171" t="s">
        <v>91</v>
      </c>
      <c r="P210" s="13"/>
      <c r="Q210" s="99">
        <f>SUM(Q192:Q209)</f>
        <v>275450</v>
      </c>
      <c r="R210" s="99">
        <f>SUM(R192:R209)</f>
        <v>550900</v>
      </c>
      <c r="S210" s="99">
        <f>SUM(S192:S209)</f>
        <v>826350</v>
      </c>
    </row>
    <row r="211" spans="1:19" ht="15.75" x14ac:dyDescent="0.25">
      <c r="A211" s="164" t="s">
        <v>272</v>
      </c>
      <c r="B211" s="164"/>
      <c r="C211" s="164"/>
      <c r="D211" s="164"/>
      <c r="E211" s="13"/>
      <c r="F211" s="13">
        <v>10</v>
      </c>
      <c r="G211" s="13">
        <v>11</v>
      </c>
      <c r="H211" s="13">
        <v>10</v>
      </c>
      <c r="I211" s="14">
        <v>9</v>
      </c>
      <c r="J211" s="23"/>
      <c r="K211" s="175"/>
      <c r="L211" s="175"/>
      <c r="M211" s="164"/>
      <c r="N211" s="197"/>
      <c r="O211" s="164"/>
      <c r="P211" s="13"/>
      <c r="Q211" s="164"/>
      <c r="R211" s="164"/>
      <c r="S211" s="164"/>
    </row>
    <row r="212" spans="1:19" ht="15.75" x14ac:dyDescent="0.25">
      <c r="A212" s="166" t="s">
        <v>419</v>
      </c>
      <c r="B212" s="166"/>
      <c r="C212" s="166" t="s">
        <v>420</v>
      </c>
      <c r="D212" s="166" t="s">
        <v>3</v>
      </c>
      <c r="E212" s="21"/>
      <c r="F212" s="21">
        <v>19</v>
      </c>
      <c r="G212" s="21">
        <v>20</v>
      </c>
      <c r="H212" s="114"/>
      <c r="I212" s="115"/>
      <c r="J212" s="217" t="s">
        <v>421</v>
      </c>
      <c r="K212" s="175"/>
      <c r="L212" s="175"/>
      <c r="M212" s="168"/>
      <c r="N212" s="197"/>
      <c r="O212" s="164"/>
      <c r="P212" s="13"/>
      <c r="Q212" s="164"/>
      <c r="R212" s="164"/>
      <c r="S212" s="164"/>
    </row>
    <row r="213" spans="1:19" ht="15.75" x14ac:dyDescent="0.25">
      <c r="A213" s="169" t="s">
        <v>398</v>
      </c>
      <c r="B213" s="164" t="s">
        <v>171</v>
      </c>
      <c r="C213" s="164" t="s">
        <v>172</v>
      </c>
      <c r="D213" s="168" t="s">
        <v>148</v>
      </c>
      <c r="E213" s="13">
        <v>2</v>
      </c>
      <c r="F213" s="13" t="s">
        <v>26</v>
      </c>
      <c r="G213" s="13" t="s">
        <v>26</v>
      </c>
      <c r="H213" s="114"/>
      <c r="I213" s="115"/>
      <c r="J213" s="255">
        <v>1</v>
      </c>
      <c r="K213" s="201">
        <v>46314</v>
      </c>
      <c r="L213" s="202">
        <v>46315</v>
      </c>
      <c r="M213" s="168" t="s">
        <v>150</v>
      </c>
      <c r="N213" s="175" t="s">
        <v>422</v>
      </c>
      <c r="O213" s="171">
        <v>1735</v>
      </c>
      <c r="P213" s="68">
        <v>2</v>
      </c>
      <c r="Q213" s="99">
        <f>(O213*10)</f>
        <v>17350</v>
      </c>
      <c r="R213" s="99">
        <f>(O213*20)</f>
        <v>34700</v>
      </c>
      <c r="S213" s="99">
        <f>(O213*30)</f>
        <v>52050</v>
      </c>
    </row>
    <row r="214" spans="1:19" ht="15.75" x14ac:dyDescent="0.25">
      <c r="A214" s="169" t="s">
        <v>398</v>
      </c>
      <c r="B214" s="168" t="s">
        <v>423</v>
      </c>
      <c r="C214" s="164" t="s">
        <v>424</v>
      </c>
      <c r="D214" s="164" t="s">
        <v>425</v>
      </c>
      <c r="E214" s="13">
        <v>2</v>
      </c>
      <c r="F214" s="13" t="s">
        <v>26</v>
      </c>
      <c r="G214" s="13" t="s">
        <v>26</v>
      </c>
      <c r="H214" s="114"/>
      <c r="I214" s="115"/>
      <c r="J214" s="255">
        <v>2</v>
      </c>
      <c r="K214" s="201">
        <v>46314</v>
      </c>
      <c r="L214" s="202">
        <v>46315</v>
      </c>
      <c r="M214" s="164" t="s">
        <v>60</v>
      </c>
      <c r="N214" s="175"/>
      <c r="O214" s="171">
        <v>1735</v>
      </c>
      <c r="P214" s="13">
        <v>2</v>
      </c>
      <c r="Q214" s="99">
        <f>(O214*10)</f>
        <v>17350</v>
      </c>
      <c r="R214" s="99">
        <f>(O214*20)</f>
        <v>34700</v>
      </c>
      <c r="S214" s="99">
        <f>(O214*30)</f>
        <v>52050</v>
      </c>
    </row>
    <row r="215" spans="1:19" ht="15.75" x14ac:dyDescent="0.25">
      <c r="A215" s="169" t="s">
        <v>398</v>
      </c>
      <c r="B215" s="28" t="s">
        <v>43</v>
      </c>
      <c r="C215" s="168" t="s">
        <v>44</v>
      </c>
      <c r="D215" s="164" t="s">
        <v>45</v>
      </c>
      <c r="E215" s="13">
        <v>2</v>
      </c>
      <c r="F215" s="13" t="s">
        <v>26</v>
      </c>
      <c r="G215" s="13" t="s">
        <v>26</v>
      </c>
      <c r="H215" s="114"/>
      <c r="I215" s="115"/>
      <c r="J215" s="255">
        <v>3</v>
      </c>
      <c r="K215" s="201">
        <v>46314</v>
      </c>
      <c r="L215" s="202">
        <v>46315</v>
      </c>
      <c r="M215" s="168" t="s">
        <v>426</v>
      </c>
      <c r="N215" s="175"/>
      <c r="O215" s="171">
        <v>1735</v>
      </c>
      <c r="P215" s="13">
        <v>2</v>
      </c>
      <c r="Q215" s="99">
        <f>(O215*10)</f>
        <v>17350</v>
      </c>
      <c r="R215" s="99">
        <f>(O215*20)</f>
        <v>34700</v>
      </c>
      <c r="S215" s="99">
        <f>(O215*30)</f>
        <v>52050</v>
      </c>
    </row>
    <row r="216" spans="1:19" ht="15.75" x14ac:dyDescent="0.25">
      <c r="A216" s="169" t="s">
        <v>398</v>
      </c>
      <c r="B216" s="168" t="s">
        <v>387</v>
      </c>
      <c r="C216" s="164" t="s">
        <v>388</v>
      </c>
      <c r="D216" s="164" t="s">
        <v>389</v>
      </c>
      <c r="E216" s="13">
        <v>1</v>
      </c>
      <c r="F216" s="13" t="s">
        <v>26</v>
      </c>
      <c r="G216" s="13"/>
      <c r="H216" s="114"/>
      <c r="I216" s="115"/>
      <c r="J216" s="255">
        <v>4</v>
      </c>
      <c r="K216" s="201">
        <v>46314</v>
      </c>
      <c r="L216" s="202">
        <v>46315</v>
      </c>
      <c r="M216" s="168" t="s">
        <v>427</v>
      </c>
      <c r="N216" s="175"/>
      <c r="O216" s="171">
        <v>881</v>
      </c>
      <c r="P216" s="13">
        <v>1</v>
      </c>
      <c r="Q216" s="99">
        <f>(O216*10)</f>
        <v>8810</v>
      </c>
      <c r="R216" s="99">
        <f>(O216*20)</f>
        <v>17620</v>
      </c>
      <c r="S216" s="99">
        <f>(O216*30)</f>
        <v>26430</v>
      </c>
    </row>
    <row r="217" spans="1:19" ht="15.75" x14ac:dyDescent="0.25">
      <c r="A217" s="169" t="s">
        <v>398</v>
      </c>
      <c r="B217" s="24" t="s">
        <v>428</v>
      </c>
      <c r="C217" s="196" t="s">
        <v>429</v>
      </c>
      <c r="D217" s="24" t="s">
        <v>50</v>
      </c>
      <c r="E217" s="13">
        <v>2</v>
      </c>
      <c r="F217" s="13" t="s">
        <v>26</v>
      </c>
      <c r="G217" s="13" t="s">
        <v>26</v>
      </c>
      <c r="H217" s="114"/>
      <c r="I217" s="115"/>
      <c r="J217" s="255">
        <v>5</v>
      </c>
      <c r="K217" s="201">
        <v>46314</v>
      </c>
      <c r="L217" s="202">
        <v>46315</v>
      </c>
      <c r="M217" s="76" t="s">
        <v>417</v>
      </c>
      <c r="N217" s="197"/>
      <c r="O217" s="171">
        <v>1735</v>
      </c>
      <c r="P217" s="13">
        <v>2</v>
      </c>
      <c r="Q217" s="99">
        <f>(O217*10)</f>
        <v>17350</v>
      </c>
      <c r="R217" s="99">
        <f>(O217*20)</f>
        <v>34700</v>
      </c>
      <c r="S217" s="99">
        <f>(O217*30)</f>
        <v>52050</v>
      </c>
    </row>
    <row r="218" spans="1:19" ht="15.75" x14ac:dyDescent="0.25">
      <c r="A218" s="169" t="s">
        <v>272</v>
      </c>
      <c r="B218" s="168"/>
      <c r="C218" s="166"/>
      <c r="D218" s="164"/>
      <c r="E218" s="13"/>
      <c r="F218" s="13">
        <v>10</v>
      </c>
      <c r="G218" s="38">
        <v>10</v>
      </c>
      <c r="H218" s="114"/>
      <c r="I218" s="115"/>
      <c r="J218" s="256"/>
      <c r="K218" s="175"/>
      <c r="L218" s="186"/>
      <c r="M218" s="168"/>
      <c r="N218" s="175"/>
      <c r="O218" s="171" t="s">
        <v>91</v>
      </c>
      <c r="P218" s="13"/>
      <c r="Q218" s="99">
        <f>SUM(Q213:Q216)</f>
        <v>60860</v>
      </c>
      <c r="R218" s="99">
        <f>SUM(R213:R216)</f>
        <v>121720</v>
      </c>
      <c r="S218" s="99">
        <f>SUM(S213:S216)</f>
        <v>182580</v>
      </c>
    </row>
    <row r="219" spans="1:19" ht="15.75" x14ac:dyDescent="0.25">
      <c r="A219" s="166" t="s">
        <v>430</v>
      </c>
      <c r="B219" s="168"/>
      <c r="C219" s="166" t="s">
        <v>431</v>
      </c>
      <c r="D219" s="166" t="s">
        <v>3</v>
      </c>
      <c r="E219" s="21"/>
      <c r="F219" s="21">
        <v>16</v>
      </c>
      <c r="G219" s="21">
        <v>17</v>
      </c>
      <c r="H219" s="114" t="s">
        <v>95</v>
      </c>
      <c r="I219" s="115">
        <v>19</v>
      </c>
      <c r="J219" s="241" t="s">
        <v>432</v>
      </c>
      <c r="K219" s="175"/>
      <c r="L219" s="186"/>
      <c r="M219" s="168"/>
      <c r="N219" s="175"/>
      <c r="O219" s="236"/>
      <c r="P219" s="21"/>
      <c r="Q219" s="166"/>
      <c r="R219" s="166"/>
      <c r="S219" s="166"/>
    </row>
    <row r="220" spans="1:19" ht="15.75" x14ac:dyDescent="0.25">
      <c r="A220" s="164" t="s">
        <v>433</v>
      </c>
      <c r="B220" s="168" t="s">
        <v>434</v>
      </c>
      <c r="C220" s="168" t="s">
        <v>59</v>
      </c>
      <c r="D220" s="168" t="s">
        <v>57</v>
      </c>
      <c r="E220" s="13">
        <v>2</v>
      </c>
      <c r="F220" s="13"/>
      <c r="G220" s="13"/>
      <c r="H220" s="13" t="s">
        <v>26</v>
      </c>
      <c r="I220" s="22" t="s">
        <v>26</v>
      </c>
      <c r="J220" s="23" t="s">
        <v>435</v>
      </c>
      <c r="K220" s="201">
        <v>46344</v>
      </c>
      <c r="L220" s="201">
        <v>46345</v>
      </c>
      <c r="M220" s="168" t="s">
        <v>60</v>
      </c>
      <c r="N220" s="249"/>
      <c r="O220" s="171">
        <v>1735</v>
      </c>
      <c r="P220" s="13">
        <v>2</v>
      </c>
      <c r="Q220" s="99">
        <f t="shared" ref="Q220:Q226" si="37">(O220*10)</f>
        <v>17350</v>
      </c>
      <c r="R220" s="99">
        <f t="shared" ref="R220:R226" si="38">(O220*20)</f>
        <v>34700</v>
      </c>
      <c r="S220" s="99">
        <f t="shared" ref="S220:S226" si="39">(O220*30)</f>
        <v>52050</v>
      </c>
    </row>
    <row r="221" spans="1:19" ht="15.75" x14ac:dyDescent="0.25">
      <c r="A221" s="164" t="s">
        <v>433</v>
      </c>
      <c r="B221" s="168" t="s">
        <v>55</v>
      </c>
      <c r="C221" s="168" t="s">
        <v>56</v>
      </c>
      <c r="D221" s="168" t="s">
        <v>57</v>
      </c>
      <c r="E221" s="13">
        <v>2</v>
      </c>
      <c r="F221" s="13" t="s">
        <v>26</v>
      </c>
      <c r="G221" s="13" t="s">
        <v>26</v>
      </c>
      <c r="H221" s="13"/>
      <c r="I221" s="22"/>
      <c r="J221" s="23" t="s">
        <v>435</v>
      </c>
      <c r="K221" s="201">
        <v>46342</v>
      </c>
      <c r="L221" s="201">
        <v>46343</v>
      </c>
      <c r="M221" s="168" t="s">
        <v>240</v>
      </c>
      <c r="N221" s="197"/>
      <c r="O221" s="171">
        <v>1735</v>
      </c>
      <c r="P221" s="13">
        <v>2</v>
      </c>
      <c r="Q221" s="99">
        <f t="shared" si="37"/>
        <v>17350</v>
      </c>
      <c r="R221" s="99">
        <f t="shared" si="38"/>
        <v>34700</v>
      </c>
      <c r="S221" s="99">
        <f t="shared" si="39"/>
        <v>52050</v>
      </c>
    </row>
    <row r="222" spans="1:19" ht="15.75" x14ac:dyDescent="0.25">
      <c r="A222" s="164" t="s">
        <v>433</v>
      </c>
      <c r="B222" s="92" t="s">
        <v>43</v>
      </c>
      <c r="C222" s="168" t="s">
        <v>44</v>
      </c>
      <c r="D222" s="164" t="s">
        <v>45</v>
      </c>
      <c r="E222" s="13">
        <v>2</v>
      </c>
      <c r="F222" s="13" t="s">
        <v>26</v>
      </c>
      <c r="G222" s="13" t="s">
        <v>26</v>
      </c>
      <c r="H222" s="18"/>
      <c r="I222" s="22"/>
      <c r="J222" s="23" t="s">
        <v>435</v>
      </c>
      <c r="K222" s="201">
        <v>46342</v>
      </c>
      <c r="L222" s="201">
        <v>46343</v>
      </c>
      <c r="M222" s="168" t="s">
        <v>426</v>
      </c>
      <c r="N222" s="197"/>
      <c r="O222" s="171">
        <v>1735</v>
      </c>
      <c r="P222" s="13">
        <v>2</v>
      </c>
      <c r="Q222" s="99">
        <f t="shared" si="37"/>
        <v>17350</v>
      </c>
      <c r="R222" s="99">
        <f t="shared" si="38"/>
        <v>34700</v>
      </c>
      <c r="S222" s="99">
        <f t="shared" si="39"/>
        <v>52050</v>
      </c>
    </row>
    <row r="223" spans="1:19" ht="15.75" x14ac:dyDescent="0.25">
      <c r="A223" s="164" t="s">
        <v>433</v>
      </c>
      <c r="B223" s="164" t="s">
        <v>71</v>
      </c>
      <c r="C223" s="164" t="s">
        <v>72</v>
      </c>
      <c r="D223" s="164" t="s">
        <v>73</v>
      </c>
      <c r="E223" s="13">
        <v>2</v>
      </c>
      <c r="F223" s="13"/>
      <c r="G223" s="13"/>
      <c r="H223" s="18" t="s">
        <v>26</v>
      </c>
      <c r="I223" s="22" t="s">
        <v>26</v>
      </c>
      <c r="J223" s="23" t="s">
        <v>435</v>
      </c>
      <c r="K223" s="201">
        <v>46344</v>
      </c>
      <c r="L223" s="201">
        <v>46345</v>
      </c>
      <c r="M223" s="164" t="s">
        <v>41</v>
      </c>
      <c r="N223" s="197"/>
      <c r="O223" s="171">
        <v>1735</v>
      </c>
      <c r="P223" s="13">
        <v>2</v>
      </c>
      <c r="Q223" s="99">
        <f t="shared" si="37"/>
        <v>17350</v>
      </c>
      <c r="R223" s="99">
        <f t="shared" si="38"/>
        <v>34700</v>
      </c>
      <c r="S223" s="99">
        <f t="shared" si="39"/>
        <v>52050</v>
      </c>
    </row>
    <row r="224" spans="1:19" ht="15.75" x14ac:dyDescent="0.25">
      <c r="A224" s="164" t="s">
        <v>433</v>
      </c>
      <c r="B224" s="164" t="s">
        <v>270</v>
      </c>
      <c r="C224" s="164" t="s">
        <v>271</v>
      </c>
      <c r="D224" s="164" t="s">
        <v>38</v>
      </c>
      <c r="E224" s="13">
        <v>2</v>
      </c>
      <c r="F224" s="13" t="s">
        <v>26</v>
      </c>
      <c r="G224" s="13" t="s">
        <v>26</v>
      </c>
      <c r="H224" s="13"/>
      <c r="I224" s="22"/>
      <c r="J224" s="23" t="s">
        <v>435</v>
      </c>
      <c r="K224" s="201">
        <v>46342</v>
      </c>
      <c r="L224" s="201">
        <v>46343</v>
      </c>
      <c r="M224" s="164" t="s">
        <v>70</v>
      </c>
      <c r="N224" s="197"/>
      <c r="O224" s="171">
        <v>1735</v>
      </c>
      <c r="P224" s="13">
        <v>2</v>
      </c>
      <c r="Q224" s="99">
        <f t="shared" si="37"/>
        <v>17350</v>
      </c>
      <c r="R224" s="99">
        <f t="shared" si="38"/>
        <v>34700</v>
      </c>
      <c r="S224" s="99">
        <f t="shared" si="39"/>
        <v>52050</v>
      </c>
    </row>
    <row r="225" spans="1:19" ht="15.75" x14ac:dyDescent="0.25">
      <c r="A225" s="177" t="s">
        <v>433</v>
      </c>
      <c r="B225" s="54" t="s">
        <v>436</v>
      </c>
      <c r="C225" s="177" t="s">
        <v>437</v>
      </c>
      <c r="D225" s="164" t="s">
        <v>308</v>
      </c>
      <c r="E225" s="13">
        <v>2</v>
      </c>
      <c r="F225" s="13" t="s">
        <v>26</v>
      </c>
      <c r="G225" s="13" t="s">
        <v>26</v>
      </c>
      <c r="H225" s="18"/>
      <c r="I225" s="22"/>
      <c r="J225" s="23" t="s">
        <v>435</v>
      </c>
      <c r="K225" s="201">
        <v>46342</v>
      </c>
      <c r="L225" s="201">
        <v>46343</v>
      </c>
      <c r="M225" s="164" t="s">
        <v>438</v>
      </c>
      <c r="N225" s="197"/>
      <c r="O225" s="171">
        <v>1735</v>
      </c>
      <c r="P225" s="13">
        <v>2</v>
      </c>
      <c r="Q225" s="99">
        <f t="shared" si="37"/>
        <v>17350</v>
      </c>
      <c r="R225" s="99">
        <f t="shared" si="38"/>
        <v>34700</v>
      </c>
      <c r="S225" s="99">
        <f t="shared" si="39"/>
        <v>52050</v>
      </c>
    </row>
    <row r="226" spans="1:19" ht="15.75" x14ac:dyDescent="0.25">
      <c r="A226" s="175" t="s">
        <v>433</v>
      </c>
      <c r="B226" s="229" t="s">
        <v>350</v>
      </c>
      <c r="C226" s="229" t="s">
        <v>351</v>
      </c>
      <c r="D226" s="192" t="s">
        <v>352</v>
      </c>
      <c r="E226" s="13">
        <v>2</v>
      </c>
      <c r="F226" s="13"/>
      <c r="G226" s="13"/>
      <c r="H226" s="18" t="s">
        <v>26</v>
      </c>
      <c r="I226" s="22" t="s">
        <v>26</v>
      </c>
      <c r="J226" s="23" t="s">
        <v>435</v>
      </c>
      <c r="K226" s="201">
        <v>46344</v>
      </c>
      <c r="L226" s="201">
        <v>46345</v>
      </c>
      <c r="M226" s="164" t="s">
        <v>215</v>
      </c>
      <c r="N226" s="197"/>
      <c r="O226" s="171">
        <v>1735</v>
      </c>
      <c r="P226" s="13">
        <v>2</v>
      </c>
      <c r="Q226" s="99">
        <f t="shared" si="37"/>
        <v>17350</v>
      </c>
      <c r="R226" s="99">
        <f t="shared" si="38"/>
        <v>34700</v>
      </c>
      <c r="S226" s="99">
        <f t="shared" si="39"/>
        <v>52050</v>
      </c>
    </row>
    <row r="227" spans="1:19" ht="15.75" x14ac:dyDescent="0.25">
      <c r="A227" s="176" t="s">
        <v>433</v>
      </c>
      <c r="B227" s="93" t="s">
        <v>439</v>
      </c>
      <c r="C227" s="176" t="s">
        <v>440</v>
      </c>
      <c r="D227" s="164" t="s">
        <v>199</v>
      </c>
      <c r="E227" s="13" t="s">
        <v>320</v>
      </c>
      <c r="F227" s="164"/>
      <c r="G227" s="91"/>
      <c r="H227" s="13" t="s">
        <v>441</v>
      </c>
      <c r="I227" s="13"/>
      <c r="J227" s="23" t="s">
        <v>435</v>
      </c>
      <c r="K227" s="201">
        <v>46344</v>
      </c>
      <c r="L227" s="201">
        <v>46344</v>
      </c>
      <c r="M227" s="164" t="s">
        <v>41</v>
      </c>
      <c r="N227" s="197"/>
      <c r="O227" s="171">
        <v>518</v>
      </c>
      <c r="P227" s="68" t="s">
        <v>85</v>
      </c>
      <c r="Q227" s="99">
        <f t="shared" ref="Q227:Q235" si="40">(O227*10)</f>
        <v>5180</v>
      </c>
      <c r="R227" s="99">
        <f t="shared" ref="R227:R235" si="41">(O227*20)</f>
        <v>10360</v>
      </c>
      <c r="S227" s="99">
        <f t="shared" ref="S227:S235" si="42">(O227*30)</f>
        <v>15540</v>
      </c>
    </row>
    <row r="228" spans="1:19" ht="15.75" x14ac:dyDescent="0.25">
      <c r="A228" s="164" t="s">
        <v>433</v>
      </c>
      <c r="B228" s="164" t="s">
        <v>442</v>
      </c>
      <c r="C228" s="168" t="s">
        <v>443</v>
      </c>
      <c r="D228" s="168" t="s">
        <v>184</v>
      </c>
      <c r="E228" s="13">
        <v>2</v>
      </c>
      <c r="F228" s="13"/>
      <c r="G228" s="13"/>
      <c r="H228" s="13" t="s">
        <v>26</v>
      </c>
      <c r="I228" s="13" t="s">
        <v>26</v>
      </c>
      <c r="J228" s="23" t="s">
        <v>435</v>
      </c>
      <c r="K228" s="201">
        <v>46344</v>
      </c>
      <c r="L228" s="201">
        <v>46345</v>
      </c>
      <c r="M228" s="168" t="s">
        <v>70</v>
      </c>
      <c r="N228" s="197"/>
      <c r="O228" s="171">
        <v>1735</v>
      </c>
      <c r="P228" s="13">
        <v>2</v>
      </c>
      <c r="Q228" s="99">
        <f t="shared" si="40"/>
        <v>17350</v>
      </c>
      <c r="R228" s="99">
        <f t="shared" si="41"/>
        <v>34700</v>
      </c>
      <c r="S228" s="99">
        <f t="shared" si="42"/>
        <v>52050</v>
      </c>
    </row>
    <row r="229" spans="1:19" ht="15.75" x14ac:dyDescent="0.25">
      <c r="A229" s="164" t="s">
        <v>433</v>
      </c>
      <c r="B229" s="168" t="s">
        <v>444</v>
      </c>
      <c r="C229" s="168" t="s">
        <v>445</v>
      </c>
      <c r="D229" s="168" t="s">
        <v>184</v>
      </c>
      <c r="E229" s="13" t="s">
        <v>320</v>
      </c>
      <c r="F229" s="13"/>
      <c r="G229" s="13" t="s">
        <v>441</v>
      </c>
      <c r="H229" s="13"/>
      <c r="I229" s="13"/>
      <c r="J229" s="23" t="s">
        <v>435</v>
      </c>
      <c r="K229" s="201">
        <v>46343</v>
      </c>
      <c r="L229" s="201">
        <v>46343</v>
      </c>
      <c r="M229" s="168" t="s">
        <v>105</v>
      </c>
      <c r="N229" s="197"/>
      <c r="O229" s="171">
        <v>518</v>
      </c>
      <c r="P229" s="68" t="s">
        <v>85</v>
      </c>
      <c r="Q229" s="99">
        <f t="shared" si="40"/>
        <v>5180</v>
      </c>
      <c r="R229" s="99">
        <f t="shared" si="41"/>
        <v>10360</v>
      </c>
      <c r="S229" s="99">
        <f t="shared" si="42"/>
        <v>15540</v>
      </c>
    </row>
    <row r="230" spans="1:19" ht="15.75" x14ac:dyDescent="0.25">
      <c r="A230" s="164" t="s">
        <v>433</v>
      </c>
      <c r="B230" s="215" t="s">
        <v>36</v>
      </c>
      <c r="C230" s="164" t="s">
        <v>37</v>
      </c>
      <c r="D230" s="164" t="s">
        <v>38</v>
      </c>
      <c r="E230" s="13">
        <v>1</v>
      </c>
      <c r="F230" s="13"/>
      <c r="G230" s="13"/>
      <c r="H230" s="13" t="s">
        <v>26</v>
      </c>
      <c r="I230" s="13"/>
      <c r="J230" s="23" t="s">
        <v>435</v>
      </c>
      <c r="K230" s="201">
        <v>46344</v>
      </c>
      <c r="L230" s="201">
        <v>46344</v>
      </c>
      <c r="M230" s="164" t="s">
        <v>41</v>
      </c>
      <c r="N230" s="197"/>
      <c r="O230" s="171">
        <v>881</v>
      </c>
      <c r="P230" s="13">
        <v>1</v>
      </c>
      <c r="Q230" s="99">
        <f t="shared" si="40"/>
        <v>8810</v>
      </c>
      <c r="R230" s="99">
        <f t="shared" si="41"/>
        <v>17620</v>
      </c>
      <c r="S230" s="99">
        <f t="shared" si="42"/>
        <v>26430</v>
      </c>
    </row>
    <row r="231" spans="1:19" ht="15.75" x14ac:dyDescent="0.25">
      <c r="A231" s="164" t="s">
        <v>433</v>
      </c>
      <c r="B231" s="56" t="s">
        <v>225</v>
      </c>
      <c r="C231" s="169" t="s">
        <v>226</v>
      </c>
      <c r="D231" s="164" t="s">
        <v>227</v>
      </c>
      <c r="E231" s="13">
        <v>2</v>
      </c>
      <c r="F231" s="13"/>
      <c r="G231" s="13"/>
      <c r="H231" s="13" t="s">
        <v>26</v>
      </c>
      <c r="I231" s="13" t="s">
        <v>26</v>
      </c>
      <c r="J231" s="23" t="s">
        <v>435</v>
      </c>
      <c r="K231" s="201">
        <v>46344</v>
      </c>
      <c r="L231" s="201">
        <v>46345</v>
      </c>
      <c r="M231" s="164" t="s">
        <v>54</v>
      </c>
      <c r="N231" s="197" t="s">
        <v>446</v>
      </c>
      <c r="O231" s="171">
        <v>1735</v>
      </c>
      <c r="P231" s="13">
        <v>2</v>
      </c>
      <c r="Q231" s="99">
        <f t="shared" si="40"/>
        <v>17350</v>
      </c>
      <c r="R231" s="99">
        <f t="shared" si="41"/>
        <v>34700</v>
      </c>
      <c r="S231" s="99">
        <f t="shared" si="42"/>
        <v>52050</v>
      </c>
    </row>
    <row r="232" spans="1:19" ht="15.75" x14ac:dyDescent="0.25">
      <c r="A232" s="164" t="s">
        <v>433</v>
      </c>
      <c r="B232" s="34" t="s">
        <v>121</v>
      </c>
      <c r="C232" s="164" t="s">
        <v>122</v>
      </c>
      <c r="D232" s="164" t="s">
        <v>50</v>
      </c>
      <c r="E232" s="13">
        <v>4</v>
      </c>
      <c r="F232" s="13" t="s">
        <v>26</v>
      </c>
      <c r="G232" s="13" t="s">
        <v>26</v>
      </c>
      <c r="H232" s="13" t="s">
        <v>26</v>
      </c>
      <c r="I232" s="13" t="s">
        <v>26</v>
      </c>
      <c r="J232" s="23" t="s">
        <v>435</v>
      </c>
      <c r="K232" s="201">
        <v>46342</v>
      </c>
      <c r="L232" s="201">
        <v>46345</v>
      </c>
      <c r="M232" s="164" t="s">
        <v>60</v>
      </c>
      <c r="N232" s="197"/>
      <c r="O232" s="171">
        <v>3228</v>
      </c>
      <c r="P232" s="13">
        <v>4</v>
      </c>
      <c r="Q232" s="99">
        <f t="shared" si="40"/>
        <v>32280</v>
      </c>
      <c r="R232" s="99">
        <f t="shared" si="41"/>
        <v>64560</v>
      </c>
      <c r="S232" s="99">
        <f t="shared" si="42"/>
        <v>96840</v>
      </c>
    </row>
    <row r="233" spans="1:19" ht="15.75" x14ac:dyDescent="0.25">
      <c r="A233" s="164" t="s">
        <v>433</v>
      </c>
      <c r="B233" s="164" t="s">
        <v>288</v>
      </c>
      <c r="C233" s="164" t="s">
        <v>289</v>
      </c>
      <c r="D233" s="164" t="s">
        <v>330</v>
      </c>
      <c r="E233" s="13">
        <v>2</v>
      </c>
      <c r="F233" s="13" t="s">
        <v>26</v>
      </c>
      <c r="G233" s="13" t="s">
        <v>26</v>
      </c>
      <c r="H233" s="13"/>
      <c r="I233" s="13"/>
      <c r="J233" s="23" t="s">
        <v>435</v>
      </c>
      <c r="K233" s="201">
        <v>46342</v>
      </c>
      <c r="L233" s="201">
        <v>46343</v>
      </c>
      <c r="M233" s="164" t="s">
        <v>60</v>
      </c>
      <c r="N233" s="197" t="s">
        <v>447</v>
      </c>
      <c r="O233" s="171">
        <v>1735</v>
      </c>
      <c r="P233" s="13">
        <v>2</v>
      </c>
      <c r="Q233" s="99">
        <f t="shared" si="40"/>
        <v>17350</v>
      </c>
      <c r="R233" s="99">
        <f t="shared" si="41"/>
        <v>34700</v>
      </c>
      <c r="S233" s="99">
        <f t="shared" si="42"/>
        <v>52050</v>
      </c>
    </row>
    <row r="234" spans="1:19" ht="15.75" x14ac:dyDescent="0.25">
      <c r="A234" s="164" t="s">
        <v>433</v>
      </c>
      <c r="B234" s="56" t="s">
        <v>331</v>
      </c>
      <c r="C234" s="164" t="s">
        <v>332</v>
      </c>
      <c r="D234" s="164" t="s">
        <v>57</v>
      </c>
      <c r="E234" s="13">
        <v>1</v>
      </c>
      <c r="F234" s="13" t="s">
        <v>26</v>
      </c>
      <c r="G234" s="13"/>
      <c r="H234" s="13"/>
      <c r="I234" s="13"/>
      <c r="J234" s="23" t="s">
        <v>435</v>
      </c>
      <c r="K234" s="201">
        <v>46342</v>
      </c>
      <c r="L234" s="201">
        <v>46342</v>
      </c>
      <c r="M234" s="164" t="s">
        <v>426</v>
      </c>
      <c r="N234" s="197"/>
      <c r="O234" s="171">
        <v>881</v>
      </c>
      <c r="P234" s="13">
        <v>1</v>
      </c>
      <c r="Q234" s="99">
        <f t="shared" si="40"/>
        <v>8810</v>
      </c>
      <c r="R234" s="99">
        <f t="shared" si="41"/>
        <v>17620</v>
      </c>
      <c r="S234" s="99">
        <f t="shared" si="42"/>
        <v>26430</v>
      </c>
    </row>
    <row r="235" spans="1:19" ht="15.75" x14ac:dyDescent="0.25">
      <c r="A235" s="211" t="s">
        <v>433</v>
      </c>
      <c r="B235" s="94" t="s">
        <v>189</v>
      </c>
      <c r="C235" s="211" t="s">
        <v>448</v>
      </c>
      <c r="D235" s="211" t="s">
        <v>191</v>
      </c>
      <c r="E235" s="36" t="s">
        <v>449</v>
      </c>
      <c r="F235" s="36" t="s">
        <v>441</v>
      </c>
      <c r="G235" s="94"/>
      <c r="H235" s="13"/>
      <c r="I235" s="13"/>
      <c r="J235" s="23" t="s">
        <v>435</v>
      </c>
      <c r="K235" s="201">
        <v>46342</v>
      </c>
      <c r="L235" s="201">
        <v>46342</v>
      </c>
      <c r="M235" s="164" t="s">
        <v>54</v>
      </c>
      <c r="N235" s="197"/>
      <c r="O235" s="171">
        <v>518</v>
      </c>
      <c r="P235" s="68" t="s">
        <v>85</v>
      </c>
      <c r="Q235" s="99">
        <f t="shared" si="40"/>
        <v>5180</v>
      </c>
      <c r="R235" s="99">
        <f t="shared" si="41"/>
        <v>10360</v>
      </c>
      <c r="S235" s="99">
        <f t="shared" si="42"/>
        <v>15540</v>
      </c>
    </row>
    <row r="236" spans="1:19" ht="15.75" x14ac:dyDescent="0.25">
      <c r="A236" s="164" t="s">
        <v>433</v>
      </c>
      <c r="B236" s="196" t="s">
        <v>193</v>
      </c>
      <c r="C236" s="196" t="s">
        <v>450</v>
      </c>
      <c r="D236" s="164" t="s">
        <v>191</v>
      </c>
      <c r="E236" s="13">
        <v>2</v>
      </c>
      <c r="F236" s="13" t="s">
        <v>26</v>
      </c>
      <c r="G236" s="91" t="s">
        <v>26</v>
      </c>
      <c r="H236" s="13"/>
      <c r="I236" s="13"/>
      <c r="J236" s="23" t="s">
        <v>435</v>
      </c>
      <c r="K236" s="201">
        <v>46342</v>
      </c>
      <c r="L236" s="201">
        <v>46343</v>
      </c>
      <c r="M236" s="164" t="s">
        <v>54</v>
      </c>
      <c r="N236" s="197"/>
      <c r="O236" s="171">
        <v>1735</v>
      </c>
      <c r="P236" s="13">
        <v>2</v>
      </c>
      <c r="Q236" s="99">
        <f t="shared" ref="Q236:Q247" si="43">(O236*10)</f>
        <v>17350</v>
      </c>
      <c r="R236" s="99">
        <f t="shared" ref="R236:R247" si="44">(O236*20)</f>
        <v>34700</v>
      </c>
      <c r="S236" s="99">
        <f t="shared" ref="S236:S247" si="45">(O236*30)</f>
        <v>52050</v>
      </c>
    </row>
    <row r="237" spans="1:19" ht="15.75" x14ac:dyDescent="0.25">
      <c r="A237" s="164" t="s">
        <v>433</v>
      </c>
      <c r="B237" s="164" t="s">
        <v>115</v>
      </c>
      <c r="C237" s="164" t="s">
        <v>116</v>
      </c>
      <c r="D237" s="164" t="s">
        <v>389</v>
      </c>
      <c r="E237" s="13">
        <v>2</v>
      </c>
      <c r="F237" s="91" t="s">
        <v>26</v>
      </c>
      <c r="G237" s="91" t="s">
        <v>26</v>
      </c>
      <c r="H237" s="13"/>
      <c r="I237" s="13"/>
      <c r="J237" s="23" t="s">
        <v>435</v>
      </c>
      <c r="K237" s="201">
        <v>46342</v>
      </c>
      <c r="L237" s="201">
        <v>46343</v>
      </c>
      <c r="M237" s="164" t="s">
        <v>89</v>
      </c>
      <c r="N237" s="197"/>
      <c r="O237" s="171">
        <v>1735</v>
      </c>
      <c r="P237" s="13">
        <v>2</v>
      </c>
      <c r="Q237" s="99">
        <f t="shared" si="43"/>
        <v>17350</v>
      </c>
      <c r="R237" s="99">
        <f t="shared" si="44"/>
        <v>34700</v>
      </c>
      <c r="S237" s="99">
        <f t="shared" si="45"/>
        <v>52050</v>
      </c>
    </row>
    <row r="238" spans="1:19" ht="15.75" x14ac:dyDescent="0.25">
      <c r="A238" s="164" t="s">
        <v>433</v>
      </c>
      <c r="B238" s="164" t="s">
        <v>119</v>
      </c>
      <c r="C238" s="164" t="s">
        <v>120</v>
      </c>
      <c r="D238" s="164" t="s">
        <v>389</v>
      </c>
      <c r="E238" s="13">
        <v>2</v>
      </c>
      <c r="F238" s="91"/>
      <c r="G238" s="91"/>
      <c r="H238" s="13" t="s">
        <v>26</v>
      </c>
      <c r="I238" s="13" t="s">
        <v>26</v>
      </c>
      <c r="J238" s="23" t="s">
        <v>435</v>
      </c>
      <c r="K238" s="201">
        <v>46344</v>
      </c>
      <c r="L238" s="201">
        <v>46345</v>
      </c>
      <c r="M238" s="164" t="s">
        <v>89</v>
      </c>
      <c r="N238" s="197"/>
      <c r="O238" s="171">
        <v>1735</v>
      </c>
      <c r="P238" s="13">
        <v>2</v>
      </c>
      <c r="Q238" s="99">
        <f t="shared" si="43"/>
        <v>17350</v>
      </c>
      <c r="R238" s="99">
        <f t="shared" si="44"/>
        <v>34700</v>
      </c>
      <c r="S238" s="99">
        <f t="shared" si="45"/>
        <v>52050</v>
      </c>
    </row>
    <row r="239" spans="1:19" ht="15.75" x14ac:dyDescent="0.25">
      <c r="A239" s="164" t="s">
        <v>433</v>
      </c>
      <c r="B239" s="56" t="s">
        <v>361</v>
      </c>
      <c r="C239" s="164" t="s">
        <v>362</v>
      </c>
      <c r="D239" s="164" t="s">
        <v>363</v>
      </c>
      <c r="E239" s="13">
        <v>2</v>
      </c>
      <c r="F239" s="13" t="s">
        <v>26</v>
      </c>
      <c r="G239" s="13" t="s">
        <v>26</v>
      </c>
      <c r="H239" s="13"/>
      <c r="I239" s="13"/>
      <c r="J239" s="23" t="s">
        <v>435</v>
      </c>
      <c r="K239" s="201">
        <v>46342</v>
      </c>
      <c r="L239" s="201">
        <v>46343</v>
      </c>
      <c r="M239" s="164" t="s">
        <v>364</v>
      </c>
      <c r="N239" s="197"/>
      <c r="O239" s="171">
        <v>1735</v>
      </c>
      <c r="P239" s="13">
        <v>2</v>
      </c>
      <c r="Q239" s="99">
        <f t="shared" si="43"/>
        <v>17350</v>
      </c>
      <c r="R239" s="99">
        <f t="shared" si="44"/>
        <v>34700</v>
      </c>
      <c r="S239" s="99">
        <f t="shared" si="45"/>
        <v>52050</v>
      </c>
    </row>
    <row r="240" spans="1:19" ht="15.75" x14ac:dyDescent="0.25">
      <c r="A240" s="164" t="s">
        <v>433</v>
      </c>
      <c r="B240" s="56" t="s">
        <v>365</v>
      </c>
      <c r="C240" s="164" t="s">
        <v>366</v>
      </c>
      <c r="D240" s="164" t="s">
        <v>363</v>
      </c>
      <c r="E240" s="13">
        <v>2</v>
      </c>
      <c r="F240" s="13"/>
      <c r="G240" s="13"/>
      <c r="H240" s="13" t="s">
        <v>26</v>
      </c>
      <c r="I240" s="13" t="s">
        <v>26</v>
      </c>
      <c r="J240" s="23" t="s">
        <v>435</v>
      </c>
      <c r="K240" s="201">
        <v>46344</v>
      </c>
      <c r="L240" s="201">
        <v>46345</v>
      </c>
      <c r="M240" s="164" t="s">
        <v>364</v>
      </c>
      <c r="N240" s="197"/>
      <c r="O240" s="171">
        <v>1735</v>
      </c>
      <c r="P240" s="13">
        <v>2</v>
      </c>
      <c r="Q240" s="99">
        <f t="shared" si="43"/>
        <v>17350</v>
      </c>
      <c r="R240" s="99">
        <f t="shared" si="44"/>
        <v>34700</v>
      </c>
      <c r="S240" s="99">
        <f t="shared" si="45"/>
        <v>52050</v>
      </c>
    </row>
    <row r="241" spans="1:19" ht="15.75" x14ac:dyDescent="0.25">
      <c r="A241" s="164" t="s">
        <v>433</v>
      </c>
      <c r="B241" s="164" t="s">
        <v>152</v>
      </c>
      <c r="C241" s="164" t="s">
        <v>245</v>
      </c>
      <c r="D241" s="164" t="s">
        <v>154</v>
      </c>
      <c r="E241" s="13">
        <v>2</v>
      </c>
      <c r="F241" s="13" t="s">
        <v>26</v>
      </c>
      <c r="G241" s="13" t="s">
        <v>26</v>
      </c>
      <c r="H241" s="13"/>
      <c r="I241" s="13"/>
      <c r="J241" s="23" t="s">
        <v>435</v>
      </c>
      <c r="K241" s="201">
        <v>46342</v>
      </c>
      <c r="L241" s="201">
        <v>46343</v>
      </c>
      <c r="M241" s="164" t="s">
        <v>325</v>
      </c>
      <c r="N241" s="197"/>
      <c r="O241" s="171">
        <v>1735</v>
      </c>
      <c r="P241" s="13">
        <v>2</v>
      </c>
      <c r="Q241" s="99">
        <f t="shared" si="43"/>
        <v>17350</v>
      </c>
      <c r="R241" s="99">
        <f t="shared" si="44"/>
        <v>34700</v>
      </c>
      <c r="S241" s="99">
        <f t="shared" si="45"/>
        <v>52050</v>
      </c>
    </row>
    <row r="242" spans="1:19" ht="15.75" x14ac:dyDescent="0.25">
      <c r="A242" s="164" t="s">
        <v>433</v>
      </c>
      <c r="B242" s="9" t="s">
        <v>243</v>
      </c>
      <c r="C242" s="164" t="s">
        <v>244</v>
      </c>
      <c r="D242" s="164" t="s">
        <v>154</v>
      </c>
      <c r="E242" s="13">
        <v>2</v>
      </c>
      <c r="F242" s="13"/>
      <c r="G242" s="13"/>
      <c r="H242" s="13" t="s">
        <v>26</v>
      </c>
      <c r="I242" s="13" t="s">
        <v>26</v>
      </c>
      <c r="J242" s="23" t="s">
        <v>435</v>
      </c>
      <c r="K242" s="201">
        <v>46344</v>
      </c>
      <c r="L242" s="201">
        <v>46345</v>
      </c>
      <c r="M242" s="164" t="s">
        <v>451</v>
      </c>
      <c r="N242" s="197"/>
      <c r="O242" s="171">
        <v>1735</v>
      </c>
      <c r="P242" s="13">
        <v>2</v>
      </c>
      <c r="Q242" s="99">
        <f t="shared" si="43"/>
        <v>17350</v>
      </c>
      <c r="R242" s="99">
        <f t="shared" si="44"/>
        <v>34700</v>
      </c>
      <c r="S242" s="99">
        <f t="shared" si="45"/>
        <v>52050</v>
      </c>
    </row>
    <row r="243" spans="1:19" ht="15.75" x14ac:dyDescent="0.25">
      <c r="A243" s="164" t="s">
        <v>433</v>
      </c>
      <c r="B243" s="164" t="s">
        <v>413</v>
      </c>
      <c r="C243" s="164" t="s">
        <v>414</v>
      </c>
      <c r="D243" s="164" t="s">
        <v>141</v>
      </c>
      <c r="E243" s="13">
        <v>2</v>
      </c>
      <c r="F243" s="13" t="s">
        <v>26</v>
      </c>
      <c r="G243" s="13" t="s">
        <v>26</v>
      </c>
      <c r="H243" s="13"/>
      <c r="I243" s="13"/>
      <c r="J243" s="23" t="s">
        <v>435</v>
      </c>
      <c r="K243" s="201">
        <v>46342</v>
      </c>
      <c r="L243" s="201">
        <v>46343</v>
      </c>
      <c r="M243" s="164" t="s">
        <v>426</v>
      </c>
      <c r="N243" s="197"/>
      <c r="O243" s="171">
        <v>1735</v>
      </c>
      <c r="P243" s="13">
        <v>2</v>
      </c>
      <c r="Q243" s="99">
        <f t="shared" si="43"/>
        <v>17350</v>
      </c>
      <c r="R243" s="99">
        <f t="shared" si="44"/>
        <v>34700</v>
      </c>
      <c r="S243" s="99">
        <f t="shared" si="45"/>
        <v>52050</v>
      </c>
    </row>
    <row r="244" spans="1:19" ht="15.75" x14ac:dyDescent="0.25">
      <c r="A244" s="164" t="s">
        <v>433</v>
      </c>
      <c r="B244" s="164" t="s">
        <v>139</v>
      </c>
      <c r="C244" s="164" t="s">
        <v>386</v>
      </c>
      <c r="D244" s="164" t="s">
        <v>141</v>
      </c>
      <c r="E244" s="13">
        <v>2</v>
      </c>
      <c r="F244" s="164"/>
      <c r="G244" s="91"/>
      <c r="H244" s="13" t="s">
        <v>26</v>
      </c>
      <c r="I244" s="13" t="s">
        <v>26</v>
      </c>
      <c r="J244" s="23" t="s">
        <v>435</v>
      </c>
      <c r="K244" s="201">
        <v>46344</v>
      </c>
      <c r="L244" s="201">
        <v>46345</v>
      </c>
      <c r="M244" s="164" t="s">
        <v>105</v>
      </c>
      <c r="N244" s="197"/>
      <c r="O244" s="171">
        <v>1735</v>
      </c>
      <c r="P244" s="13">
        <v>2</v>
      </c>
      <c r="Q244" s="99">
        <f t="shared" si="43"/>
        <v>17350</v>
      </c>
      <c r="R244" s="99">
        <f t="shared" si="44"/>
        <v>34700</v>
      </c>
      <c r="S244" s="99">
        <f t="shared" si="45"/>
        <v>52050</v>
      </c>
    </row>
    <row r="245" spans="1:19" ht="15.75" x14ac:dyDescent="0.25">
      <c r="A245" s="164" t="s">
        <v>433</v>
      </c>
      <c r="B245" s="34" t="s">
        <v>61</v>
      </c>
      <c r="C245" s="197" t="s">
        <v>62</v>
      </c>
      <c r="D245" s="34" t="s">
        <v>63</v>
      </c>
      <c r="E245" s="13">
        <v>2</v>
      </c>
      <c r="F245" s="13" t="s">
        <v>26</v>
      </c>
      <c r="G245" s="13" t="s">
        <v>26</v>
      </c>
      <c r="H245" s="13"/>
      <c r="I245" s="13"/>
      <c r="J245" s="23" t="s">
        <v>435</v>
      </c>
      <c r="K245" s="201">
        <v>46342</v>
      </c>
      <c r="L245" s="201">
        <v>46343</v>
      </c>
      <c r="M245" s="164" t="s">
        <v>89</v>
      </c>
      <c r="N245" s="197"/>
      <c r="O245" s="171">
        <v>1735</v>
      </c>
      <c r="P245" s="13">
        <v>2</v>
      </c>
      <c r="Q245" s="99">
        <f t="shared" si="43"/>
        <v>17350</v>
      </c>
      <c r="R245" s="99">
        <f t="shared" si="44"/>
        <v>34700</v>
      </c>
      <c r="S245" s="99">
        <f t="shared" si="45"/>
        <v>52050</v>
      </c>
    </row>
    <row r="246" spans="1:19" ht="15.75" x14ac:dyDescent="0.25">
      <c r="A246" s="164" t="s">
        <v>433</v>
      </c>
      <c r="B246" s="211" t="s">
        <v>247</v>
      </c>
      <c r="C246" s="211"/>
      <c r="D246" s="211"/>
      <c r="E246" s="36"/>
      <c r="F246" s="211"/>
      <c r="G246" s="91"/>
      <c r="H246" s="13"/>
      <c r="I246" s="13"/>
      <c r="J246" s="23"/>
      <c r="K246" s="201">
        <v>46344</v>
      </c>
      <c r="L246" s="201">
        <v>46345</v>
      </c>
      <c r="M246" s="164" t="s">
        <v>89</v>
      </c>
      <c r="N246" s="197"/>
      <c r="O246" s="171">
        <v>1735</v>
      </c>
      <c r="P246" s="13">
        <v>2</v>
      </c>
      <c r="Q246" s="99">
        <f t="shared" si="43"/>
        <v>17350</v>
      </c>
      <c r="R246" s="99">
        <f t="shared" si="44"/>
        <v>34700</v>
      </c>
      <c r="S246" s="99">
        <f t="shared" si="45"/>
        <v>52050</v>
      </c>
    </row>
    <row r="247" spans="1:19" ht="15.75" x14ac:dyDescent="0.25">
      <c r="A247" s="164" t="s">
        <v>433</v>
      </c>
      <c r="B247" s="164" t="s">
        <v>452</v>
      </c>
      <c r="C247" s="164"/>
      <c r="D247" s="164"/>
      <c r="E247" s="13"/>
      <c r="F247" s="164"/>
      <c r="G247" s="91"/>
      <c r="H247" s="13"/>
      <c r="I247" s="13"/>
      <c r="J247" s="23" t="s">
        <v>435</v>
      </c>
      <c r="K247" s="175"/>
      <c r="L247" s="175"/>
      <c r="M247" s="164"/>
      <c r="N247" s="197" t="s">
        <v>453</v>
      </c>
      <c r="O247" s="171">
        <v>0</v>
      </c>
      <c r="P247" s="13">
        <v>2</v>
      </c>
      <c r="Q247" s="99">
        <f t="shared" si="43"/>
        <v>0</v>
      </c>
      <c r="R247" s="99">
        <f t="shared" si="44"/>
        <v>0</v>
      </c>
      <c r="S247" s="99">
        <f t="shared" si="45"/>
        <v>0</v>
      </c>
    </row>
    <row r="248" spans="1:19" ht="15.75" x14ac:dyDescent="0.25">
      <c r="A248" s="164"/>
      <c r="B248" s="164"/>
      <c r="C248" s="164"/>
      <c r="D248" s="164"/>
      <c r="E248" s="13"/>
      <c r="F248" s="164"/>
      <c r="G248" s="91"/>
      <c r="H248" s="13"/>
      <c r="I248" s="13"/>
      <c r="J248" s="23"/>
      <c r="K248" s="175"/>
      <c r="L248" s="175"/>
      <c r="M248" s="164"/>
      <c r="N248" s="197"/>
      <c r="O248" s="171" t="s">
        <v>91</v>
      </c>
      <c r="P248" s="13"/>
      <c r="Q248" s="99">
        <f>SUM(Q220:Q247)</f>
        <v>429790</v>
      </c>
      <c r="R248" s="99">
        <f>SUM(R220:R247)</f>
        <v>859580</v>
      </c>
      <c r="S248" s="99">
        <f>SUM(S220:S247)</f>
        <v>1289370</v>
      </c>
    </row>
    <row r="249" spans="1:19" ht="15.75" x14ac:dyDescent="0.25">
      <c r="A249" s="164" t="s">
        <v>272</v>
      </c>
      <c r="B249" s="164"/>
      <c r="C249" s="164"/>
      <c r="D249" s="164"/>
      <c r="E249" s="13"/>
      <c r="F249" s="13">
        <v>14.5</v>
      </c>
      <c r="G249" s="13">
        <v>13.5</v>
      </c>
      <c r="H249" s="13">
        <v>15.5</v>
      </c>
      <c r="I249" s="13">
        <v>13</v>
      </c>
      <c r="J249" s="23"/>
      <c r="K249" s="175"/>
      <c r="L249" s="175"/>
      <c r="M249" s="164"/>
      <c r="N249" s="197"/>
      <c r="O249" s="164"/>
      <c r="P249" s="13"/>
      <c r="Q249" s="164"/>
      <c r="R249" s="164"/>
      <c r="S249" s="164"/>
    </row>
    <row r="250" spans="1:19" ht="15.75" x14ac:dyDescent="0.25">
      <c r="A250" s="166" t="s">
        <v>454</v>
      </c>
      <c r="B250" s="166"/>
      <c r="C250" s="166" t="s">
        <v>455</v>
      </c>
      <c r="D250" s="166" t="s">
        <v>3</v>
      </c>
      <c r="E250" s="21"/>
      <c r="F250" s="21">
        <v>7</v>
      </c>
      <c r="G250" s="21">
        <v>8</v>
      </c>
      <c r="H250" s="21">
        <v>9</v>
      </c>
      <c r="I250" s="21">
        <v>10</v>
      </c>
      <c r="J250" s="241" t="s">
        <v>456</v>
      </c>
      <c r="K250" s="235"/>
      <c r="L250" s="235"/>
      <c r="M250" s="166"/>
      <c r="N250" s="197"/>
      <c r="O250" s="166"/>
      <c r="P250" s="21"/>
      <c r="Q250" s="166"/>
      <c r="R250" s="166"/>
      <c r="S250" s="166"/>
    </row>
    <row r="251" spans="1:19" ht="15.75" x14ac:dyDescent="0.25">
      <c r="A251" s="164" t="s">
        <v>457</v>
      </c>
      <c r="B251" s="34" t="s">
        <v>121</v>
      </c>
      <c r="C251" s="164" t="s">
        <v>122</v>
      </c>
      <c r="D251" s="164" t="s">
        <v>458</v>
      </c>
      <c r="E251" s="13">
        <v>4</v>
      </c>
      <c r="F251" s="13" t="s">
        <v>26</v>
      </c>
      <c r="G251" s="13" t="s">
        <v>26</v>
      </c>
      <c r="H251" s="13" t="s">
        <v>26</v>
      </c>
      <c r="I251" s="13" t="s">
        <v>26</v>
      </c>
      <c r="J251" s="23" t="s">
        <v>101</v>
      </c>
      <c r="K251" s="201">
        <v>46363</v>
      </c>
      <c r="L251" s="202">
        <v>46366</v>
      </c>
      <c r="M251" s="164" t="s">
        <v>105</v>
      </c>
      <c r="N251" s="29"/>
      <c r="O251" s="171">
        <v>3228</v>
      </c>
      <c r="P251" s="13">
        <v>4</v>
      </c>
      <c r="Q251" s="99">
        <f t="shared" ref="Q251:Q265" si="46">(O251*10)</f>
        <v>32280</v>
      </c>
      <c r="R251" s="99">
        <f t="shared" ref="R251:R265" si="47">(O251*20)</f>
        <v>64560</v>
      </c>
      <c r="S251" s="99">
        <f t="shared" ref="S251:S265" si="48">(O251*30)</f>
        <v>96840</v>
      </c>
    </row>
    <row r="252" spans="1:19" ht="15.75" x14ac:dyDescent="0.25">
      <c r="A252" s="164" t="s">
        <v>457</v>
      </c>
      <c r="B252" s="56" t="s">
        <v>98</v>
      </c>
      <c r="C252" s="164" t="s">
        <v>99</v>
      </c>
      <c r="D252" s="164" t="s">
        <v>100</v>
      </c>
      <c r="E252" s="13">
        <v>1</v>
      </c>
      <c r="F252" s="91" t="s">
        <v>26</v>
      </c>
      <c r="G252" s="91"/>
      <c r="H252" s="13"/>
      <c r="I252" s="13"/>
      <c r="J252" s="23" t="s">
        <v>109</v>
      </c>
      <c r="K252" s="201">
        <v>46363</v>
      </c>
      <c r="L252" s="201">
        <v>46363</v>
      </c>
      <c r="M252" s="164" t="s">
        <v>54</v>
      </c>
      <c r="N252" s="164"/>
      <c r="O252" s="171">
        <v>881</v>
      </c>
      <c r="P252" s="13">
        <v>1</v>
      </c>
      <c r="Q252" s="99">
        <f t="shared" si="46"/>
        <v>8810</v>
      </c>
      <c r="R252" s="99">
        <f t="shared" si="47"/>
        <v>17620</v>
      </c>
      <c r="S252" s="99">
        <f t="shared" si="48"/>
        <v>26430</v>
      </c>
    </row>
    <row r="253" spans="1:19" ht="15.75" x14ac:dyDescent="0.25">
      <c r="A253" s="164" t="s">
        <v>457</v>
      </c>
      <c r="B253" s="56" t="s">
        <v>103</v>
      </c>
      <c r="C253" s="164" t="s">
        <v>104</v>
      </c>
      <c r="D253" s="164" t="s">
        <v>100</v>
      </c>
      <c r="E253" s="13">
        <v>3</v>
      </c>
      <c r="F253" s="91"/>
      <c r="G253" s="13" t="s">
        <v>26</v>
      </c>
      <c r="H253" s="13" t="s">
        <v>26</v>
      </c>
      <c r="I253" s="13" t="s">
        <v>26</v>
      </c>
      <c r="J253" s="23" t="s">
        <v>109</v>
      </c>
      <c r="K253" s="201">
        <v>46364</v>
      </c>
      <c r="L253" s="202">
        <v>46366</v>
      </c>
      <c r="M253" s="175" t="s">
        <v>265</v>
      </c>
      <c r="N253" s="164"/>
      <c r="O253" s="171">
        <v>2427</v>
      </c>
      <c r="P253" s="13">
        <v>3</v>
      </c>
      <c r="Q253" s="99">
        <f t="shared" si="46"/>
        <v>24270</v>
      </c>
      <c r="R253" s="99">
        <f t="shared" si="47"/>
        <v>48540</v>
      </c>
      <c r="S253" s="99">
        <f t="shared" si="48"/>
        <v>72810</v>
      </c>
    </row>
    <row r="254" spans="1:19" ht="15.75" x14ac:dyDescent="0.25">
      <c r="A254" s="164" t="s">
        <v>457</v>
      </c>
      <c r="B254" s="164" t="s">
        <v>124</v>
      </c>
      <c r="C254" s="164" t="s">
        <v>125</v>
      </c>
      <c r="D254" s="164" t="s">
        <v>126</v>
      </c>
      <c r="E254" s="13">
        <v>2</v>
      </c>
      <c r="F254" s="91" t="s">
        <v>26</v>
      </c>
      <c r="G254" s="91" t="s">
        <v>26</v>
      </c>
      <c r="H254" s="13"/>
      <c r="I254" s="13"/>
      <c r="J254" s="23" t="s">
        <v>118</v>
      </c>
      <c r="K254" s="201">
        <v>46363</v>
      </c>
      <c r="L254" s="202">
        <v>46364</v>
      </c>
      <c r="M254" s="175" t="s">
        <v>364</v>
      </c>
      <c r="N254" s="164"/>
      <c r="O254" s="171">
        <v>1735</v>
      </c>
      <c r="P254" s="13">
        <v>2</v>
      </c>
      <c r="Q254" s="99">
        <f t="shared" si="46"/>
        <v>17350</v>
      </c>
      <c r="R254" s="99">
        <f t="shared" si="47"/>
        <v>34700</v>
      </c>
      <c r="S254" s="99">
        <f t="shared" si="48"/>
        <v>52050</v>
      </c>
    </row>
    <row r="255" spans="1:19" ht="15.75" x14ac:dyDescent="0.25">
      <c r="A255" s="164" t="s">
        <v>457</v>
      </c>
      <c r="B255" s="164" t="s">
        <v>128</v>
      </c>
      <c r="C255" s="169" t="s">
        <v>129</v>
      </c>
      <c r="D255" s="164" t="s">
        <v>126</v>
      </c>
      <c r="E255" s="13">
        <v>2</v>
      </c>
      <c r="F255" s="91"/>
      <c r="G255" s="91"/>
      <c r="H255" s="13" t="s">
        <v>26</v>
      </c>
      <c r="I255" s="13" t="s">
        <v>26</v>
      </c>
      <c r="J255" s="23" t="s">
        <v>118</v>
      </c>
      <c r="K255" s="201">
        <v>46365</v>
      </c>
      <c r="L255" s="202">
        <v>46366</v>
      </c>
      <c r="M255" s="175" t="s">
        <v>364</v>
      </c>
      <c r="N255" s="164" t="s">
        <v>459</v>
      </c>
      <c r="O255" s="171">
        <v>1735</v>
      </c>
      <c r="P255" s="13">
        <v>2</v>
      </c>
      <c r="Q255" s="99">
        <f t="shared" si="46"/>
        <v>17350</v>
      </c>
      <c r="R255" s="99">
        <f t="shared" si="47"/>
        <v>34700</v>
      </c>
      <c r="S255" s="99">
        <f t="shared" si="48"/>
        <v>52050</v>
      </c>
    </row>
    <row r="256" spans="1:19" ht="15.75" x14ac:dyDescent="0.25">
      <c r="A256" s="164" t="s">
        <v>457</v>
      </c>
      <c r="B256" s="56" t="s">
        <v>361</v>
      </c>
      <c r="C256" s="164" t="s">
        <v>362</v>
      </c>
      <c r="D256" s="164" t="s">
        <v>460</v>
      </c>
      <c r="E256" s="13">
        <v>2</v>
      </c>
      <c r="F256" s="91" t="s">
        <v>26</v>
      </c>
      <c r="G256" s="91" t="s">
        <v>26</v>
      </c>
      <c r="H256" s="13"/>
      <c r="I256" s="13"/>
      <c r="J256" s="23" t="s">
        <v>123</v>
      </c>
      <c r="K256" s="201">
        <v>46363</v>
      </c>
      <c r="L256" s="202">
        <v>46364</v>
      </c>
      <c r="M256" s="175" t="s">
        <v>215</v>
      </c>
      <c r="N256" s="164"/>
      <c r="O256" s="171">
        <v>1735</v>
      </c>
      <c r="P256" s="13">
        <v>2</v>
      </c>
      <c r="Q256" s="99">
        <f t="shared" si="46"/>
        <v>17350</v>
      </c>
      <c r="R256" s="99">
        <f t="shared" si="47"/>
        <v>34700</v>
      </c>
      <c r="S256" s="99">
        <f t="shared" si="48"/>
        <v>52050</v>
      </c>
    </row>
    <row r="257" spans="1:19" ht="15.75" x14ac:dyDescent="0.25">
      <c r="A257" s="164" t="s">
        <v>457</v>
      </c>
      <c r="B257" s="56" t="s">
        <v>365</v>
      </c>
      <c r="C257" s="177" t="s">
        <v>366</v>
      </c>
      <c r="D257" s="164" t="s">
        <v>363</v>
      </c>
      <c r="E257" s="13">
        <v>2</v>
      </c>
      <c r="F257" s="91"/>
      <c r="G257" s="91"/>
      <c r="H257" s="13" t="s">
        <v>26</v>
      </c>
      <c r="I257" s="13" t="s">
        <v>26</v>
      </c>
      <c r="J257" s="23" t="s">
        <v>123</v>
      </c>
      <c r="K257" s="201">
        <v>46365</v>
      </c>
      <c r="L257" s="202">
        <v>46366</v>
      </c>
      <c r="M257" s="175" t="s">
        <v>215</v>
      </c>
      <c r="N257" s="164"/>
      <c r="O257" s="171">
        <v>1735</v>
      </c>
      <c r="P257" s="13">
        <v>2</v>
      </c>
      <c r="Q257" s="99">
        <f t="shared" si="46"/>
        <v>17350</v>
      </c>
      <c r="R257" s="99">
        <f t="shared" si="47"/>
        <v>34700</v>
      </c>
      <c r="S257" s="99">
        <f t="shared" si="48"/>
        <v>52050</v>
      </c>
    </row>
    <row r="258" spans="1:19" ht="15.75" x14ac:dyDescent="0.25">
      <c r="A258" s="164" t="s">
        <v>457</v>
      </c>
      <c r="B258" s="13" t="s">
        <v>216</v>
      </c>
      <c r="C258" s="229" t="s">
        <v>217</v>
      </c>
      <c r="D258" s="192" t="s">
        <v>214</v>
      </c>
      <c r="E258" s="13">
        <v>1</v>
      </c>
      <c r="F258" s="13"/>
      <c r="G258" s="91" t="s">
        <v>26</v>
      </c>
      <c r="H258" s="13"/>
      <c r="I258" s="13"/>
      <c r="J258" s="23" t="s">
        <v>127</v>
      </c>
      <c r="K258" s="201">
        <v>46364</v>
      </c>
      <c r="L258" s="202">
        <v>46364</v>
      </c>
      <c r="M258" s="175" t="s">
        <v>54</v>
      </c>
      <c r="N258" s="164"/>
      <c r="O258" s="171">
        <v>1735</v>
      </c>
      <c r="P258" s="13">
        <v>2</v>
      </c>
      <c r="Q258" s="99">
        <f t="shared" si="46"/>
        <v>17350</v>
      </c>
      <c r="R258" s="99">
        <f t="shared" si="47"/>
        <v>34700</v>
      </c>
      <c r="S258" s="99">
        <f t="shared" si="48"/>
        <v>52050</v>
      </c>
    </row>
    <row r="259" spans="1:19" ht="15.75" x14ac:dyDescent="0.25">
      <c r="A259" s="164" t="s">
        <v>457</v>
      </c>
      <c r="B259" s="13" t="s">
        <v>212</v>
      </c>
      <c r="C259" s="229" t="s">
        <v>213</v>
      </c>
      <c r="D259" s="192" t="s">
        <v>214</v>
      </c>
      <c r="E259" s="13">
        <v>2</v>
      </c>
      <c r="F259" s="13"/>
      <c r="G259" s="91"/>
      <c r="H259" s="13" t="s">
        <v>26</v>
      </c>
      <c r="I259" s="13" t="s">
        <v>26</v>
      </c>
      <c r="J259" s="23" t="s">
        <v>127</v>
      </c>
      <c r="K259" s="201">
        <v>46365</v>
      </c>
      <c r="L259" s="202">
        <v>46366</v>
      </c>
      <c r="M259" s="175" t="s">
        <v>215</v>
      </c>
      <c r="N259" s="164"/>
      <c r="O259" s="171">
        <v>1735</v>
      </c>
      <c r="P259" s="13">
        <v>2</v>
      </c>
      <c r="Q259" s="99">
        <f t="shared" si="46"/>
        <v>17350</v>
      </c>
      <c r="R259" s="99">
        <f t="shared" si="47"/>
        <v>34700</v>
      </c>
      <c r="S259" s="99">
        <f t="shared" si="48"/>
        <v>52050</v>
      </c>
    </row>
    <row r="260" spans="1:19" ht="15.75" x14ac:dyDescent="0.25">
      <c r="A260" s="164" t="s">
        <v>457</v>
      </c>
      <c r="B260" s="164" t="s">
        <v>376</v>
      </c>
      <c r="C260" s="176" t="s">
        <v>377</v>
      </c>
      <c r="D260" s="164" t="s">
        <v>378</v>
      </c>
      <c r="E260" s="13">
        <v>4</v>
      </c>
      <c r="F260" s="13" t="s">
        <v>26</v>
      </c>
      <c r="G260" s="13" t="s">
        <v>26</v>
      </c>
      <c r="H260" s="13" t="s">
        <v>26</v>
      </c>
      <c r="I260" s="13" t="s">
        <v>26</v>
      </c>
      <c r="J260" s="23" t="s">
        <v>134</v>
      </c>
      <c r="K260" s="201">
        <v>46363</v>
      </c>
      <c r="L260" s="202">
        <v>46366</v>
      </c>
      <c r="M260" s="175" t="s">
        <v>60</v>
      </c>
      <c r="N260" s="164"/>
      <c r="O260" s="171">
        <v>3228</v>
      </c>
      <c r="P260" s="13">
        <v>4</v>
      </c>
      <c r="Q260" s="99">
        <f t="shared" si="46"/>
        <v>32280</v>
      </c>
      <c r="R260" s="99">
        <f t="shared" si="47"/>
        <v>64560</v>
      </c>
      <c r="S260" s="99">
        <f t="shared" si="48"/>
        <v>96840</v>
      </c>
    </row>
    <row r="261" spans="1:19" ht="15.75" x14ac:dyDescent="0.25">
      <c r="A261" s="164" t="s">
        <v>457</v>
      </c>
      <c r="B261" s="164" t="s">
        <v>152</v>
      </c>
      <c r="C261" s="164" t="s">
        <v>245</v>
      </c>
      <c r="D261" s="164" t="s">
        <v>154</v>
      </c>
      <c r="E261" s="13">
        <v>2</v>
      </c>
      <c r="F261" s="13" t="s">
        <v>26</v>
      </c>
      <c r="G261" s="91" t="s">
        <v>26</v>
      </c>
      <c r="H261" s="13"/>
      <c r="I261" s="13"/>
      <c r="J261" s="23" t="s">
        <v>142</v>
      </c>
      <c r="K261" s="201">
        <v>46363</v>
      </c>
      <c r="L261" s="202">
        <v>46364</v>
      </c>
      <c r="M261" s="175" t="s">
        <v>188</v>
      </c>
      <c r="N261" s="164"/>
      <c r="O261" s="171">
        <v>1735</v>
      </c>
      <c r="P261" s="13">
        <v>2</v>
      </c>
      <c r="Q261" s="99">
        <f t="shared" si="46"/>
        <v>17350</v>
      </c>
      <c r="R261" s="99">
        <f t="shared" si="47"/>
        <v>34700</v>
      </c>
      <c r="S261" s="99">
        <f t="shared" si="48"/>
        <v>52050</v>
      </c>
    </row>
    <row r="262" spans="1:19" ht="15.75" x14ac:dyDescent="0.25">
      <c r="A262" s="164" t="s">
        <v>457</v>
      </c>
      <c r="B262" s="9" t="s">
        <v>243</v>
      </c>
      <c r="C262" s="164" t="s">
        <v>244</v>
      </c>
      <c r="D262" s="164" t="s">
        <v>154</v>
      </c>
      <c r="E262" s="13">
        <v>2</v>
      </c>
      <c r="F262" s="164"/>
      <c r="G262" s="91"/>
      <c r="H262" s="13" t="s">
        <v>26</v>
      </c>
      <c r="I262" s="13" t="s">
        <v>26</v>
      </c>
      <c r="J262" s="23" t="s">
        <v>142</v>
      </c>
      <c r="K262" s="201">
        <v>46365</v>
      </c>
      <c r="L262" s="202">
        <v>46366</v>
      </c>
      <c r="M262" s="175" t="s">
        <v>54</v>
      </c>
      <c r="N262" s="164"/>
      <c r="O262" s="171">
        <v>1735</v>
      </c>
      <c r="P262" s="13">
        <v>2</v>
      </c>
      <c r="Q262" s="99">
        <f t="shared" si="46"/>
        <v>17350</v>
      </c>
      <c r="R262" s="99">
        <f t="shared" si="47"/>
        <v>34700</v>
      </c>
      <c r="S262" s="99">
        <f t="shared" si="48"/>
        <v>52050</v>
      </c>
    </row>
    <row r="263" spans="1:19" ht="15.75" x14ac:dyDescent="0.25">
      <c r="A263" s="164" t="s">
        <v>457</v>
      </c>
      <c r="B263" s="60" t="s">
        <v>185</v>
      </c>
      <c r="C263" s="164" t="s">
        <v>186</v>
      </c>
      <c r="D263" s="164" t="s">
        <v>187</v>
      </c>
      <c r="E263" s="13">
        <v>4</v>
      </c>
      <c r="F263" s="13" t="s">
        <v>26</v>
      </c>
      <c r="G263" s="13" t="s">
        <v>26</v>
      </c>
      <c r="H263" s="13" t="s">
        <v>26</v>
      </c>
      <c r="I263" s="13" t="s">
        <v>26</v>
      </c>
      <c r="J263" s="23" t="s">
        <v>149</v>
      </c>
      <c r="K263" s="201">
        <v>46363</v>
      </c>
      <c r="L263" s="202">
        <v>46366</v>
      </c>
      <c r="M263" s="175" t="s">
        <v>60</v>
      </c>
      <c r="N263" s="164"/>
      <c r="O263" s="171">
        <v>3228</v>
      </c>
      <c r="P263" s="13">
        <v>4</v>
      </c>
      <c r="Q263" s="99">
        <f t="shared" si="46"/>
        <v>32280</v>
      </c>
      <c r="R263" s="99">
        <f t="shared" si="47"/>
        <v>64560</v>
      </c>
      <c r="S263" s="99">
        <f t="shared" si="48"/>
        <v>96840</v>
      </c>
    </row>
    <row r="264" spans="1:19" ht="15.75" x14ac:dyDescent="0.25">
      <c r="A264" s="164" t="s">
        <v>457</v>
      </c>
      <c r="B264" s="56" t="s">
        <v>261</v>
      </c>
      <c r="C264" s="164" t="s">
        <v>262</v>
      </c>
      <c r="D264" s="164" t="s">
        <v>148</v>
      </c>
      <c r="E264" s="13">
        <v>3</v>
      </c>
      <c r="F264" s="13" t="s">
        <v>26</v>
      </c>
      <c r="G264" s="13" t="s">
        <v>26</v>
      </c>
      <c r="H264" s="13" t="s">
        <v>26</v>
      </c>
      <c r="I264" s="13"/>
      <c r="J264" s="3" t="s">
        <v>158</v>
      </c>
      <c r="K264" s="201">
        <v>46363</v>
      </c>
      <c r="L264" s="201">
        <v>46365</v>
      </c>
      <c r="M264" s="164" t="s">
        <v>105</v>
      </c>
      <c r="N264" s="164"/>
      <c r="O264" s="171">
        <v>2427</v>
      </c>
      <c r="P264" s="13">
        <v>3</v>
      </c>
      <c r="Q264" s="99">
        <f t="shared" si="46"/>
        <v>24270</v>
      </c>
      <c r="R264" s="99">
        <f t="shared" si="47"/>
        <v>48540</v>
      </c>
      <c r="S264" s="99">
        <f t="shared" si="48"/>
        <v>72810</v>
      </c>
    </row>
    <row r="265" spans="1:19" ht="15.75" x14ac:dyDescent="0.25">
      <c r="A265" s="164" t="s">
        <v>457</v>
      </c>
      <c r="B265" s="56" t="s">
        <v>258</v>
      </c>
      <c r="C265" s="164" t="s">
        <v>259</v>
      </c>
      <c r="D265" s="164" t="s">
        <v>148</v>
      </c>
      <c r="E265" s="13">
        <v>1</v>
      </c>
      <c r="F265" s="13"/>
      <c r="G265" s="13"/>
      <c r="H265" s="13"/>
      <c r="I265" s="13" t="s">
        <v>26</v>
      </c>
      <c r="J265" s="3" t="s">
        <v>158</v>
      </c>
      <c r="K265" s="201">
        <v>46366</v>
      </c>
      <c r="L265" s="201">
        <v>46366</v>
      </c>
      <c r="M265" s="164" t="s">
        <v>461</v>
      </c>
      <c r="N265" s="164"/>
      <c r="O265" s="171">
        <v>881</v>
      </c>
      <c r="P265" s="13">
        <v>1</v>
      </c>
      <c r="Q265" s="99">
        <f t="shared" si="46"/>
        <v>8810</v>
      </c>
      <c r="R265" s="99">
        <f t="shared" si="47"/>
        <v>17620</v>
      </c>
      <c r="S265" s="99">
        <f t="shared" si="48"/>
        <v>26430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A519-79A8-4AEA-BDDB-04EDC1829B19}">
  <sheetPr codeName="Sheet2"/>
  <dimension ref="A1:E265"/>
  <sheetViews>
    <sheetView workbookViewId="0">
      <selection activeCell="B9" sqref="A2:E1048576"/>
    </sheetView>
  </sheetViews>
  <sheetFormatPr defaultRowHeight="15" zeroHeight="1" x14ac:dyDescent="0.25"/>
  <cols>
    <col min="1" max="1" width="14.42578125" customWidth="1"/>
    <col min="2" max="2" width="121.5703125" bestFit="1" customWidth="1"/>
    <col min="3" max="3" width="33.85546875" bestFit="1" customWidth="1"/>
    <col min="4" max="4" width="14" customWidth="1"/>
    <col min="5" max="5" width="19.42578125" bestFit="1" customWidth="1"/>
  </cols>
  <sheetData>
    <row r="1" spans="1:5" ht="15.75" x14ac:dyDescent="0.25">
      <c r="A1" s="93" t="s">
        <v>1</v>
      </c>
      <c r="B1" s="93" t="s">
        <v>2</v>
      </c>
      <c r="C1" s="93" t="s">
        <v>3</v>
      </c>
      <c r="D1" s="93" t="s">
        <v>4</v>
      </c>
      <c r="E1" s="93" t="s">
        <v>12</v>
      </c>
    </row>
    <row r="2" spans="1:5" ht="15.75" hidden="1" x14ac:dyDescent="0.25">
      <c r="A2" s="91"/>
      <c r="B2" s="165" t="s">
        <v>20</v>
      </c>
      <c r="C2" s="166" t="s">
        <v>3</v>
      </c>
      <c r="D2" s="21" t="s">
        <v>4</v>
      </c>
      <c r="E2" s="96" t="s">
        <v>12</v>
      </c>
    </row>
    <row r="3" spans="1:5" ht="15.75" x14ac:dyDescent="0.25">
      <c r="A3" s="2" t="s">
        <v>23</v>
      </c>
      <c r="B3" s="169" t="s">
        <v>24</v>
      </c>
      <c r="C3" s="169" t="s">
        <v>25</v>
      </c>
      <c r="D3" s="97">
        <v>2</v>
      </c>
      <c r="E3" s="169" t="s">
        <v>30</v>
      </c>
    </row>
    <row r="4" spans="1:5" ht="15.75" x14ac:dyDescent="0.25">
      <c r="A4" s="2" t="s">
        <v>32</v>
      </c>
      <c r="B4" s="11" t="s">
        <v>33</v>
      </c>
      <c r="C4" s="164" t="s">
        <v>34</v>
      </c>
      <c r="D4" s="20">
        <v>2</v>
      </c>
      <c r="E4" s="168" t="s">
        <v>35</v>
      </c>
    </row>
    <row r="5" spans="1:5" ht="15.75" x14ac:dyDescent="0.25">
      <c r="A5" s="4" t="s">
        <v>36</v>
      </c>
      <c r="B5" s="169" t="s">
        <v>37</v>
      </c>
      <c r="C5" s="169" t="s">
        <v>38</v>
      </c>
      <c r="D5" s="97">
        <v>1</v>
      </c>
      <c r="E5" s="172" t="s">
        <v>41</v>
      </c>
    </row>
    <row r="6" spans="1:5" ht="15.75" x14ac:dyDescent="0.25">
      <c r="A6" s="5" t="s">
        <v>43</v>
      </c>
      <c r="B6" s="174" t="s">
        <v>44</v>
      </c>
      <c r="C6" s="169" t="s">
        <v>45</v>
      </c>
      <c r="D6" s="97">
        <v>2</v>
      </c>
      <c r="E6" s="175" t="s">
        <v>47</v>
      </c>
    </row>
    <row r="7" spans="1:5" ht="15.75" x14ac:dyDescent="0.25">
      <c r="A7" s="6" t="s">
        <v>48</v>
      </c>
      <c r="B7" s="164" t="s">
        <v>49</v>
      </c>
      <c r="C7" s="164" t="s">
        <v>50</v>
      </c>
      <c r="D7" s="20">
        <v>2</v>
      </c>
      <c r="E7" s="176" t="s">
        <v>51</v>
      </c>
    </row>
    <row r="8" spans="1:5" ht="15.75" x14ac:dyDescent="0.25">
      <c r="A8" s="7" t="s">
        <v>52</v>
      </c>
      <c r="B8" s="177" t="s">
        <v>53</v>
      </c>
      <c r="C8" s="177" t="s">
        <v>50</v>
      </c>
      <c r="D8" s="100">
        <v>1</v>
      </c>
      <c r="E8" s="177" t="s">
        <v>54</v>
      </c>
    </row>
    <row r="9" spans="1:5" ht="15.75" x14ac:dyDescent="0.25">
      <c r="A9" s="9" t="s">
        <v>55</v>
      </c>
      <c r="B9" s="164" t="s">
        <v>56</v>
      </c>
      <c r="C9" s="164" t="s">
        <v>57</v>
      </c>
      <c r="D9" s="20">
        <v>2</v>
      </c>
      <c r="E9" s="164" t="s">
        <v>58</v>
      </c>
    </row>
    <row r="10" spans="1:5" ht="15.75" x14ac:dyDescent="0.25">
      <c r="A10" s="6" t="s">
        <v>55</v>
      </c>
      <c r="B10" s="176" t="s">
        <v>59</v>
      </c>
      <c r="C10" s="176" t="s">
        <v>57</v>
      </c>
      <c r="D10" s="103">
        <v>2</v>
      </c>
      <c r="E10" s="176" t="s">
        <v>60</v>
      </c>
    </row>
    <row r="11" spans="1:5" ht="15.75" x14ac:dyDescent="0.25">
      <c r="A11" s="2" t="s">
        <v>61</v>
      </c>
      <c r="B11" s="164" t="s">
        <v>62</v>
      </c>
      <c r="C11" s="164" t="s">
        <v>63</v>
      </c>
      <c r="D11" s="20">
        <v>2</v>
      </c>
      <c r="E11" s="164" t="s">
        <v>41</v>
      </c>
    </row>
    <row r="12" spans="1:5" ht="15.75" x14ac:dyDescent="0.25">
      <c r="A12" s="2" t="s">
        <v>64</v>
      </c>
      <c r="B12" s="164" t="s">
        <v>65</v>
      </c>
      <c r="C12" s="164" t="s">
        <v>66</v>
      </c>
      <c r="D12" s="20">
        <v>2</v>
      </c>
      <c r="E12" s="164" t="s">
        <v>60</v>
      </c>
    </row>
    <row r="13" spans="1:5" ht="15.75" x14ac:dyDescent="0.25">
      <c r="A13" s="10" t="s">
        <v>67</v>
      </c>
      <c r="B13" s="186" t="s">
        <v>68</v>
      </c>
      <c r="C13" s="175" t="s">
        <v>69</v>
      </c>
      <c r="D13" s="187">
        <v>2</v>
      </c>
      <c r="E13" s="188" t="s">
        <v>70</v>
      </c>
    </row>
    <row r="14" spans="1:5" ht="15.75" x14ac:dyDescent="0.25">
      <c r="A14" s="11" t="s">
        <v>71</v>
      </c>
      <c r="B14" s="176" t="s">
        <v>72</v>
      </c>
      <c r="C14" s="176" t="s">
        <v>73</v>
      </c>
      <c r="D14" s="20">
        <v>2</v>
      </c>
      <c r="E14" s="164" t="s">
        <v>41</v>
      </c>
    </row>
    <row r="15" spans="1:5" ht="15.75" x14ac:dyDescent="0.25">
      <c r="A15" s="2" t="s">
        <v>74</v>
      </c>
      <c r="B15" s="164" t="s">
        <v>75</v>
      </c>
      <c r="C15" s="164" t="s">
        <v>76</v>
      </c>
      <c r="D15" s="20">
        <v>3</v>
      </c>
      <c r="E15" s="164" t="s">
        <v>60</v>
      </c>
    </row>
    <row r="16" spans="1:5" ht="15.75" x14ac:dyDescent="0.25">
      <c r="A16" s="2" t="s">
        <v>77</v>
      </c>
      <c r="B16" s="164" t="s">
        <v>78</v>
      </c>
      <c r="C16" s="164" t="s">
        <v>79</v>
      </c>
      <c r="D16" s="20">
        <v>2</v>
      </c>
      <c r="E16" s="164" t="s">
        <v>60</v>
      </c>
    </row>
    <row r="17" spans="1:5" ht="15.75" x14ac:dyDescent="0.25">
      <c r="A17" s="4" t="s">
        <v>80</v>
      </c>
      <c r="B17" s="177" t="s">
        <v>81</v>
      </c>
      <c r="C17" s="164" t="s">
        <v>82</v>
      </c>
      <c r="D17" s="12" t="s">
        <v>83</v>
      </c>
      <c r="E17" s="164" t="s">
        <v>47</v>
      </c>
    </row>
    <row r="18" spans="1:5" x14ac:dyDescent="0.25">
      <c r="A18" s="15" t="s">
        <v>86</v>
      </c>
      <c r="B18" s="16" t="s">
        <v>87</v>
      </c>
      <c r="C18" s="17" t="s">
        <v>88</v>
      </c>
      <c r="D18" s="13">
        <v>3</v>
      </c>
      <c r="E18" s="24" t="s">
        <v>89</v>
      </c>
    </row>
    <row r="19" spans="1:5" ht="15.75" hidden="1" x14ac:dyDescent="0.25">
      <c r="A19" s="108"/>
      <c r="B19" s="191"/>
      <c r="C19" s="169"/>
      <c r="D19" s="109"/>
      <c r="E19" s="111"/>
    </row>
    <row r="20" spans="1:5" ht="15.75" hidden="1" x14ac:dyDescent="0.25">
      <c r="A20" s="13"/>
      <c r="B20" s="164"/>
      <c r="C20" s="169"/>
      <c r="D20" s="20"/>
      <c r="E20" s="164"/>
    </row>
    <row r="21" spans="1:5" ht="15.75" hidden="1" x14ac:dyDescent="0.25">
      <c r="A21" s="166" t="s">
        <v>1</v>
      </c>
      <c r="B21" s="166" t="s">
        <v>94</v>
      </c>
      <c r="C21" s="166" t="s">
        <v>3</v>
      </c>
      <c r="D21" s="21" t="s">
        <v>4</v>
      </c>
      <c r="E21" s="166" t="s">
        <v>12</v>
      </c>
    </row>
    <row r="22" spans="1:5" ht="15.75" x14ac:dyDescent="0.25">
      <c r="A22" s="169" t="s">
        <v>98</v>
      </c>
      <c r="B22" s="164" t="s">
        <v>99</v>
      </c>
      <c r="C22" s="164" t="s">
        <v>100</v>
      </c>
      <c r="D22" s="13">
        <v>1</v>
      </c>
      <c r="E22" s="164" t="s">
        <v>102</v>
      </c>
    </row>
    <row r="23" spans="1:5" ht="15.75" x14ac:dyDescent="0.25">
      <c r="A23" s="24" t="s">
        <v>103</v>
      </c>
      <c r="B23" s="164" t="s">
        <v>104</v>
      </c>
      <c r="C23" s="164" t="s">
        <v>100</v>
      </c>
      <c r="D23" s="13">
        <v>3</v>
      </c>
      <c r="E23" s="164" t="s">
        <v>105</v>
      </c>
    </row>
    <row r="24" spans="1:5" ht="15.75" x14ac:dyDescent="0.25">
      <c r="A24" s="24" t="s">
        <v>106</v>
      </c>
      <c r="B24" s="164" t="s">
        <v>107</v>
      </c>
      <c r="C24" s="164" t="s">
        <v>108</v>
      </c>
      <c r="D24" s="13">
        <v>2</v>
      </c>
      <c r="E24" s="164" t="s">
        <v>58</v>
      </c>
    </row>
    <row r="25" spans="1:5" ht="15.75" x14ac:dyDescent="0.25">
      <c r="A25" s="24" t="s">
        <v>111</v>
      </c>
      <c r="B25" s="164" t="s">
        <v>112</v>
      </c>
      <c r="C25" s="164" t="s">
        <v>113</v>
      </c>
      <c r="D25" s="13">
        <v>2</v>
      </c>
      <c r="E25" s="177" t="s">
        <v>102</v>
      </c>
    </row>
    <row r="26" spans="1:5" ht="15.75" x14ac:dyDescent="0.25">
      <c r="A26" s="25" t="s">
        <v>115</v>
      </c>
      <c r="B26" s="197" t="s">
        <v>116</v>
      </c>
      <c r="C26" s="164" t="s">
        <v>117</v>
      </c>
      <c r="D26" s="13">
        <v>2</v>
      </c>
      <c r="E26" s="175" t="s">
        <v>41</v>
      </c>
    </row>
    <row r="27" spans="1:5" ht="15.75" x14ac:dyDescent="0.25">
      <c r="A27" s="24" t="s">
        <v>119</v>
      </c>
      <c r="B27" s="164" t="s">
        <v>120</v>
      </c>
      <c r="C27" s="164" t="s">
        <v>117</v>
      </c>
      <c r="D27" s="13">
        <v>2</v>
      </c>
      <c r="E27" s="176" t="s">
        <v>41</v>
      </c>
    </row>
    <row r="28" spans="1:5" ht="15.75" x14ac:dyDescent="0.25">
      <c r="A28" s="28" t="s">
        <v>121</v>
      </c>
      <c r="B28" s="164" t="s">
        <v>122</v>
      </c>
      <c r="C28" s="164" t="s">
        <v>50</v>
      </c>
      <c r="D28" s="13">
        <v>4</v>
      </c>
      <c r="E28" s="164" t="s">
        <v>60</v>
      </c>
    </row>
    <row r="29" spans="1:5" ht="15.75" x14ac:dyDescent="0.25">
      <c r="A29" s="29" t="s">
        <v>124</v>
      </c>
      <c r="B29" s="164" t="s">
        <v>125</v>
      </c>
      <c r="C29" s="164" t="s">
        <v>126</v>
      </c>
      <c r="D29" s="13">
        <v>2</v>
      </c>
      <c r="E29" s="164" t="s">
        <v>54</v>
      </c>
    </row>
    <row r="30" spans="1:5" ht="15.75" x14ac:dyDescent="0.25">
      <c r="A30" s="37" t="s">
        <v>128</v>
      </c>
      <c r="B30" s="198" t="s">
        <v>129</v>
      </c>
      <c r="C30" s="197" t="s">
        <v>126</v>
      </c>
      <c r="D30" s="199">
        <v>2</v>
      </c>
      <c r="E30" s="197" t="s">
        <v>105</v>
      </c>
    </row>
    <row r="31" spans="1:5" ht="15.75" x14ac:dyDescent="0.25">
      <c r="A31" s="92" t="s">
        <v>131</v>
      </c>
      <c r="B31" s="169" t="s">
        <v>132</v>
      </c>
      <c r="C31" s="164" t="s">
        <v>133</v>
      </c>
      <c r="D31" s="13">
        <v>1</v>
      </c>
      <c r="E31" s="164" t="s">
        <v>105</v>
      </c>
    </row>
    <row r="32" spans="1:5" ht="15.75" x14ac:dyDescent="0.25">
      <c r="A32" s="9" t="s">
        <v>136</v>
      </c>
      <c r="B32" s="164" t="s">
        <v>137</v>
      </c>
      <c r="C32" s="164" t="s">
        <v>133</v>
      </c>
      <c r="D32" s="13">
        <v>1</v>
      </c>
      <c r="E32" s="164" t="s">
        <v>105</v>
      </c>
    </row>
    <row r="33" spans="1:5" ht="15.75" x14ac:dyDescent="0.25">
      <c r="A33" s="30" t="s">
        <v>71</v>
      </c>
      <c r="B33" s="169" t="s">
        <v>72</v>
      </c>
      <c r="C33" s="169" t="s">
        <v>73</v>
      </c>
      <c r="D33" s="38">
        <v>2</v>
      </c>
      <c r="E33" s="169" t="s">
        <v>89</v>
      </c>
    </row>
    <row r="34" spans="1:5" ht="15.75" x14ac:dyDescent="0.25">
      <c r="A34" s="24" t="s">
        <v>139</v>
      </c>
      <c r="B34" s="164" t="s">
        <v>140</v>
      </c>
      <c r="C34" s="164" t="s">
        <v>141</v>
      </c>
      <c r="D34" s="13">
        <v>2</v>
      </c>
      <c r="E34" s="164" t="s">
        <v>105</v>
      </c>
    </row>
    <row r="35" spans="1:5" ht="15.75" x14ac:dyDescent="0.25">
      <c r="A35" s="34" t="s">
        <v>143</v>
      </c>
      <c r="B35" s="197" t="s">
        <v>144</v>
      </c>
      <c r="C35" s="164" t="s">
        <v>141</v>
      </c>
      <c r="D35" s="13">
        <v>2</v>
      </c>
      <c r="E35" s="164" t="s">
        <v>105</v>
      </c>
    </row>
    <row r="36" spans="1:5" ht="15.75" x14ac:dyDescent="0.25">
      <c r="A36" s="177" t="s">
        <v>146</v>
      </c>
      <c r="B36" s="197" t="s">
        <v>147</v>
      </c>
      <c r="C36" s="164" t="s">
        <v>148</v>
      </c>
      <c r="D36" s="13">
        <v>2</v>
      </c>
      <c r="E36" s="164" t="s">
        <v>150</v>
      </c>
    </row>
    <row r="37" spans="1:5" ht="15.75" x14ac:dyDescent="0.25">
      <c r="A37" s="37" t="s">
        <v>152</v>
      </c>
      <c r="B37" s="198" t="s">
        <v>153</v>
      </c>
      <c r="C37" s="196" t="s">
        <v>154</v>
      </c>
      <c r="D37" s="13">
        <v>2</v>
      </c>
      <c r="E37" s="177" t="s">
        <v>155</v>
      </c>
    </row>
    <row r="38" spans="1:5" ht="15.75" x14ac:dyDescent="0.25">
      <c r="A38" s="4" t="s">
        <v>156</v>
      </c>
      <c r="B38" s="177" t="s">
        <v>157</v>
      </c>
      <c r="C38" s="177" t="s">
        <v>69</v>
      </c>
      <c r="D38" s="122">
        <v>4</v>
      </c>
      <c r="E38" s="175" t="s">
        <v>70</v>
      </c>
    </row>
    <row r="39" spans="1:5" ht="15.75" x14ac:dyDescent="0.25">
      <c r="A39" s="43" t="s">
        <v>160</v>
      </c>
      <c r="B39" s="175" t="s">
        <v>161</v>
      </c>
      <c r="C39" s="44" t="s">
        <v>79</v>
      </c>
      <c r="D39" s="123">
        <v>4</v>
      </c>
      <c r="E39" s="197" t="s">
        <v>60</v>
      </c>
    </row>
    <row r="40" spans="1:5" ht="15.75" hidden="1" x14ac:dyDescent="0.25">
      <c r="A40" s="197"/>
      <c r="B40" s="191"/>
      <c r="C40" s="198"/>
      <c r="D40" s="57"/>
      <c r="E40" s="197"/>
    </row>
    <row r="41" spans="1:5" ht="15.75" hidden="1" x14ac:dyDescent="0.25">
      <c r="A41" s="197"/>
      <c r="B41" s="197"/>
      <c r="C41" s="197"/>
      <c r="D41" s="45"/>
      <c r="E41" s="197"/>
    </row>
    <row r="42" spans="1:5" ht="15.75" hidden="1" x14ac:dyDescent="0.25">
      <c r="A42" s="203" t="s">
        <v>1</v>
      </c>
      <c r="B42" s="203" t="s">
        <v>165</v>
      </c>
      <c r="C42" s="203" t="s">
        <v>3</v>
      </c>
      <c r="D42" s="127" t="s">
        <v>15</v>
      </c>
      <c r="E42" s="127" t="s">
        <v>12</v>
      </c>
    </row>
    <row r="43" spans="1:5" ht="15.75" x14ac:dyDescent="0.25">
      <c r="A43" s="54" t="s">
        <v>168</v>
      </c>
      <c r="B43" s="175" t="s">
        <v>169</v>
      </c>
      <c r="C43" s="177" t="s">
        <v>148</v>
      </c>
      <c r="D43" s="45">
        <v>2</v>
      </c>
      <c r="E43" s="175" t="s">
        <v>150</v>
      </c>
    </row>
    <row r="44" spans="1:5" ht="15.75" x14ac:dyDescent="0.25">
      <c r="A44" s="175" t="s">
        <v>146</v>
      </c>
      <c r="B44" s="175" t="s">
        <v>147</v>
      </c>
      <c r="C44" s="175" t="s">
        <v>170</v>
      </c>
      <c r="D44" s="45">
        <v>2</v>
      </c>
      <c r="E44" s="175" t="s">
        <v>150</v>
      </c>
    </row>
    <row r="45" spans="1:5" ht="15.75" x14ac:dyDescent="0.25">
      <c r="A45" s="175" t="s">
        <v>171</v>
      </c>
      <c r="B45" s="175" t="s">
        <v>172</v>
      </c>
      <c r="C45" s="175" t="s">
        <v>170</v>
      </c>
      <c r="D45" s="45">
        <v>2</v>
      </c>
      <c r="E45" s="175" t="s">
        <v>150</v>
      </c>
    </row>
    <row r="46" spans="1:5" ht="15.75" x14ac:dyDescent="0.25">
      <c r="A46" s="204"/>
      <c r="B46" s="204" t="s">
        <v>173</v>
      </c>
      <c r="C46" s="196" t="s">
        <v>174</v>
      </c>
      <c r="D46" s="45"/>
      <c r="E46" s="175"/>
    </row>
    <row r="47" spans="1:5" ht="15.75" x14ac:dyDescent="0.25">
      <c r="A47" s="204" t="s">
        <v>115</v>
      </c>
      <c r="B47" s="204" t="s">
        <v>116</v>
      </c>
      <c r="C47" s="204" t="s">
        <v>117</v>
      </c>
      <c r="D47" s="45">
        <v>2</v>
      </c>
      <c r="E47" s="175" t="s">
        <v>150</v>
      </c>
    </row>
    <row r="48" spans="1:5" ht="15.75" hidden="1" x14ac:dyDescent="0.25">
      <c r="A48" s="175"/>
      <c r="B48" s="206"/>
      <c r="C48" s="207"/>
      <c r="D48" s="57"/>
      <c r="E48" s="175"/>
    </row>
    <row r="49" spans="1:5" ht="15.75" hidden="1" x14ac:dyDescent="0.25">
      <c r="A49" s="175"/>
      <c r="B49" s="175"/>
      <c r="C49" s="175"/>
      <c r="D49" s="131"/>
      <c r="E49" s="175"/>
    </row>
    <row r="50" spans="1:5" ht="15.75" hidden="1" x14ac:dyDescent="0.25">
      <c r="A50" s="209" t="s">
        <v>1</v>
      </c>
      <c r="B50" s="209" t="s">
        <v>176</v>
      </c>
      <c r="C50" s="209" t="s">
        <v>3</v>
      </c>
      <c r="D50" s="145" t="s">
        <v>15</v>
      </c>
      <c r="E50" s="209" t="s">
        <v>12</v>
      </c>
    </row>
    <row r="51" spans="1:5" ht="15.75" x14ac:dyDescent="0.25">
      <c r="A51" s="60" t="s">
        <v>64</v>
      </c>
      <c r="B51" s="164" t="s">
        <v>181</v>
      </c>
      <c r="C51" s="164" t="s">
        <v>66</v>
      </c>
      <c r="D51" s="13">
        <v>2</v>
      </c>
      <c r="E51" s="164" t="s">
        <v>60</v>
      </c>
    </row>
    <row r="52" spans="1:5" ht="15.75" x14ac:dyDescent="0.25">
      <c r="A52" s="164" t="s">
        <v>182</v>
      </c>
      <c r="B52" s="168" t="s">
        <v>183</v>
      </c>
      <c r="C52" s="168" t="s">
        <v>184</v>
      </c>
      <c r="D52" s="68" t="s">
        <v>85</v>
      </c>
      <c r="E52" s="164" t="s">
        <v>105</v>
      </c>
    </row>
    <row r="53" spans="1:5" ht="15.75" x14ac:dyDescent="0.25">
      <c r="A53" s="56" t="s">
        <v>185</v>
      </c>
      <c r="B53" s="197" t="s">
        <v>186</v>
      </c>
      <c r="C53" s="168" t="s">
        <v>187</v>
      </c>
      <c r="D53" s="68">
        <v>4</v>
      </c>
      <c r="E53" s="164" t="s">
        <v>188</v>
      </c>
    </row>
    <row r="54" spans="1:5" ht="15.75" x14ac:dyDescent="0.25">
      <c r="A54" s="94" t="s">
        <v>189</v>
      </c>
      <c r="B54" s="211" t="s">
        <v>190</v>
      </c>
      <c r="C54" s="211" t="s">
        <v>191</v>
      </c>
      <c r="D54" s="36" t="s">
        <v>85</v>
      </c>
      <c r="E54" s="164" t="s">
        <v>54</v>
      </c>
    </row>
    <row r="55" spans="1:5" ht="15.75" x14ac:dyDescent="0.25">
      <c r="A55" s="136" t="s">
        <v>193</v>
      </c>
      <c r="B55" s="168" t="s">
        <v>194</v>
      </c>
      <c r="C55" s="168" t="s">
        <v>191</v>
      </c>
      <c r="D55" s="68">
        <v>2</v>
      </c>
      <c r="E55" s="164" t="s">
        <v>54</v>
      </c>
    </row>
    <row r="56" spans="1:5" ht="15.75" x14ac:dyDescent="0.25">
      <c r="A56" s="28" t="s">
        <v>195</v>
      </c>
      <c r="B56" s="168" t="s">
        <v>196</v>
      </c>
      <c r="C56" s="168" t="s">
        <v>69</v>
      </c>
      <c r="D56" s="68">
        <v>2</v>
      </c>
      <c r="E56" s="164" t="s">
        <v>105</v>
      </c>
    </row>
    <row r="57" spans="1:5" ht="15.75" x14ac:dyDescent="0.25">
      <c r="A57" s="136" t="s">
        <v>197</v>
      </c>
      <c r="B57" s="168" t="s">
        <v>198</v>
      </c>
      <c r="C57" s="168" t="s">
        <v>199</v>
      </c>
      <c r="D57" s="68">
        <v>1</v>
      </c>
      <c r="E57" s="164" t="s">
        <v>30</v>
      </c>
    </row>
    <row r="58" spans="1:5" ht="15.75" x14ac:dyDescent="0.25">
      <c r="A58" s="136" t="s">
        <v>200</v>
      </c>
      <c r="B58" s="56" t="s">
        <v>201</v>
      </c>
      <c r="C58" s="168" t="s">
        <v>199</v>
      </c>
      <c r="D58" s="68">
        <v>1</v>
      </c>
      <c r="E58" s="164" t="s">
        <v>41</v>
      </c>
    </row>
    <row r="59" spans="1:5" ht="15.75" x14ac:dyDescent="0.25">
      <c r="A59" s="56" t="s">
        <v>202</v>
      </c>
      <c r="B59" s="168" t="s">
        <v>203</v>
      </c>
      <c r="C59" s="168" t="s">
        <v>204</v>
      </c>
      <c r="D59" s="68">
        <v>2</v>
      </c>
      <c r="E59" s="164" t="s">
        <v>105</v>
      </c>
    </row>
    <row r="60" spans="1:5" ht="15.75" x14ac:dyDescent="0.25">
      <c r="A60" s="91" t="s">
        <v>205</v>
      </c>
      <c r="B60" s="56" t="s">
        <v>206</v>
      </c>
      <c r="C60" s="164" t="s">
        <v>207</v>
      </c>
      <c r="D60" s="91">
        <v>1</v>
      </c>
      <c r="E60" s="164" t="s">
        <v>54</v>
      </c>
    </row>
    <row r="61" spans="1:5" ht="15.75" x14ac:dyDescent="0.25">
      <c r="A61" s="91" t="s">
        <v>208</v>
      </c>
      <c r="B61" s="56" t="s">
        <v>209</v>
      </c>
      <c r="C61" s="164" t="s">
        <v>207</v>
      </c>
      <c r="D61" s="91">
        <v>1</v>
      </c>
      <c r="E61" s="164" t="s">
        <v>54</v>
      </c>
    </row>
    <row r="62" spans="1:5" ht="15.75" x14ac:dyDescent="0.25">
      <c r="A62" s="34" t="s">
        <v>48</v>
      </c>
      <c r="B62" s="168" t="s">
        <v>49</v>
      </c>
      <c r="C62" s="168" t="s">
        <v>50</v>
      </c>
      <c r="D62" s="68">
        <v>2</v>
      </c>
      <c r="E62" s="164" t="s">
        <v>30</v>
      </c>
    </row>
    <row r="63" spans="1:5" ht="15.75" x14ac:dyDescent="0.25">
      <c r="A63" s="58" t="s">
        <v>52</v>
      </c>
      <c r="B63" s="168" t="s">
        <v>53</v>
      </c>
      <c r="C63" s="168" t="s">
        <v>50</v>
      </c>
      <c r="D63" s="68">
        <v>1</v>
      </c>
      <c r="E63" s="164" t="s">
        <v>54</v>
      </c>
    </row>
    <row r="64" spans="1:5" ht="15.75" x14ac:dyDescent="0.25">
      <c r="A64" s="9" t="s">
        <v>136</v>
      </c>
      <c r="B64" s="168" t="s">
        <v>137</v>
      </c>
      <c r="C64" s="168" t="s">
        <v>133</v>
      </c>
      <c r="D64" s="68">
        <v>1</v>
      </c>
      <c r="E64" s="164" t="s">
        <v>105</v>
      </c>
    </row>
    <row r="65" spans="1:5" ht="15.75" x14ac:dyDescent="0.25">
      <c r="A65" s="91" t="s">
        <v>23</v>
      </c>
      <c r="B65" s="164" t="s">
        <v>24</v>
      </c>
      <c r="C65" s="168" t="s">
        <v>25</v>
      </c>
      <c r="D65" s="68">
        <v>2</v>
      </c>
      <c r="E65" s="164" t="s">
        <v>30</v>
      </c>
    </row>
    <row r="66" spans="1:5" ht="15.75" x14ac:dyDescent="0.25">
      <c r="A66" s="168" t="s">
        <v>71</v>
      </c>
      <c r="B66" s="168" t="s">
        <v>72</v>
      </c>
      <c r="C66" s="168" t="s">
        <v>73</v>
      </c>
      <c r="D66" s="68">
        <v>2</v>
      </c>
      <c r="E66" s="168" t="s">
        <v>41</v>
      </c>
    </row>
    <row r="67" spans="1:5" ht="15.75" x14ac:dyDescent="0.25">
      <c r="A67" s="68" t="s">
        <v>212</v>
      </c>
      <c r="B67" s="168" t="s">
        <v>213</v>
      </c>
      <c r="C67" s="168" t="s">
        <v>214</v>
      </c>
      <c r="D67" s="68">
        <v>2</v>
      </c>
      <c r="E67" s="168" t="s">
        <v>215</v>
      </c>
    </row>
    <row r="68" spans="1:5" ht="15.75" x14ac:dyDescent="0.25">
      <c r="A68" s="68" t="s">
        <v>216</v>
      </c>
      <c r="B68" s="168" t="s">
        <v>217</v>
      </c>
      <c r="C68" s="168" t="s">
        <v>214</v>
      </c>
      <c r="D68" s="68">
        <v>1</v>
      </c>
      <c r="E68" s="168" t="s">
        <v>215</v>
      </c>
    </row>
    <row r="69" spans="1:5" ht="15.75" x14ac:dyDescent="0.25">
      <c r="A69" s="60" t="s">
        <v>218</v>
      </c>
      <c r="B69" s="168" t="s">
        <v>219</v>
      </c>
      <c r="C69" s="168" t="s">
        <v>220</v>
      </c>
      <c r="D69" s="68">
        <v>2</v>
      </c>
      <c r="E69" s="168" t="s">
        <v>221</v>
      </c>
    </row>
    <row r="70" spans="1:5" ht="15.75" x14ac:dyDescent="0.25">
      <c r="A70" s="213" t="s">
        <v>222</v>
      </c>
      <c r="B70" s="172" t="s">
        <v>223</v>
      </c>
      <c r="C70" s="172" t="s">
        <v>224</v>
      </c>
      <c r="D70" s="68">
        <v>2</v>
      </c>
      <c r="E70" s="177" t="s">
        <v>30</v>
      </c>
    </row>
    <row r="71" spans="1:5" ht="15.75" x14ac:dyDescent="0.25">
      <c r="A71" s="34" t="s">
        <v>225</v>
      </c>
      <c r="B71" s="214" t="s">
        <v>226</v>
      </c>
      <c r="C71" s="177" t="s">
        <v>227</v>
      </c>
      <c r="D71" s="139">
        <v>2</v>
      </c>
      <c r="E71" s="215" t="s">
        <v>54</v>
      </c>
    </row>
    <row r="72" spans="1:5" ht="15.75" x14ac:dyDescent="0.25">
      <c r="A72" s="135" t="s">
        <v>229</v>
      </c>
      <c r="B72" s="207" t="s">
        <v>230</v>
      </c>
      <c r="C72" s="175" t="s">
        <v>231</v>
      </c>
      <c r="D72" s="139">
        <v>3</v>
      </c>
      <c r="E72" s="207" t="s">
        <v>54</v>
      </c>
    </row>
    <row r="73" spans="1:5" ht="15.75" hidden="1" x14ac:dyDescent="0.25">
      <c r="A73" s="197"/>
      <c r="B73" s="197"/>
      <c r="C73" s="182"/>
      <c r="D73" s="68"/>
      <c r="E73" s="197"/>
    </row>
    <row r="74" spans="1:5" ht="15.75" hidden="1" x14ac:dyDescent="0.25">
      <c r="A74" s="166"/>
      <c r="B74" s="166" t="s">
        <v>234</v>
      </c>
      <c r="C74" s="166" t="s">
        <v>3</v>
      </c>
      <c r="D74" s="96" t="s">
        <v>4</v>
      </c>
      <c r="E74" s="166"/>
    </row>
    <row r="75" spans="1:5" ht="15.75" x14ac:dyDescent="0.25">
      <c r="A75" s="136" t="s">
        <v>139</v>
      </c>
      <c r="B75" s="168" t="s">
        <v>140</v>
      </c>
      <c r="C75" s="168" t="s">
        <v>141</v>
      </c>
      <c r="D75" s="68">
        <v>2</v>
      </c>
      <c r="E75" s="168" t="s">
        <v>240</v>
      </c>
    </row>
    <row r="76" spans="1:5" ht="15.75" x14ac:dyDescent="0.25">
      <c r="A76" s="28" t="s">
        <v>143</v>
      </c>
      <c r="B76" s="164" t="s">
        <v>144</v>
      </c>
      <c r="C76" s="168" t="s">
        <v>141</v>
      </c>
      <c r="D76" s="68">
        <v>2</v>
      </c>
      <c r="E76" s="168" t="s">
        <v>215</v>
      </c>
    </row>
    <row r="77" spans="1:5" ht="15.75" x14ac:dyDescent="0.25">
      <c r="A77" s="60" t="s">
        <v>98</v>
      </c>
      <c r="B77" s="168" t="s">
        <v>99</v>
      </c>
      <c r="C77" s="168" t="s">
        <v>100</v>
      </c>
      <c r="D77" s="68">
        <v>1</v>
      </c>
      <c r="E77" s="168" t="s">
        <v>54</v>
      </c>
    </row>
    <row r="78" spans="1:5" ht="15.75" x14ac:dyDescent="0.25">
      <c r="A78" s="60" t="s">
        <v>103</v>
      </c>
      <c r="B78" s="164" t="s">
        <v>104</v>
      </c>
      <c r="C78" s="164" t="s">
        <v>100</v>
      </c>
      <c r="D78" s="13">
        <v>3</v>
      </c>
      <c r="E78" s="164" t="s">
        <v>240</v>
      </c>
    </row>
    <row r="79" spans="1:5" ht="15.75" x14ac:dyDescent="0.25">
      <c r="A79" s="92" t="s">
        <v>243</v>
      </c>
      <c r="B79" s="164" t="s">
        <v>244</v>
      </c>
      <c r="C79" s="164" t="s">
        <v>154</v>
      </c>
      <c r="D79" s="13">
        <v>2</v>
      </c>
      <c r="E79" s="168" t="s">
        <v>54</v>
      </c>
    </row>
    <row r="80" spans="1:5" ht="15.75" x14ac:dyDescent="0.25">
      <c r="A80" s="136" t="s">
        <v>152</v>
      </c>
      <c r="B80" s="168" t="s">
        <v>245</v>
      </c>
      <c r="C80" s="168" t="s">
        <v>154</v>
      </c>
      <c r="D80" s="68">
        <v>2</v>
      </c>
      <c r="E80" s="168" t="s">
        <v>47</v>
      </c>
    </row>
    <row r="81" spans="1:5" ht="15.75" x14ac:dyDescent="0.25">
      <c r="A81" s="136" t="s">
        <v>111</v>
      </c>
      <c r="B81" s="168" t="s">
        <v>112</v>
      </c>
      <c r="C81" s="164" t="s">
        <v>113</v>
      </c>
      <c r="D81" s="13">
        <v>2</v>
      </c>
      <c r="E81" s="168" t="s">
        <v>105</v>
      </c>
    </row>
    <row r="82" spans="1:5" ht="15.75" hidden="1" x14ac:dyDescent="0.25">
      <c r="A82" s="136"/>
      <c r="B82" s="168"/>
      <c r="C82" s="164"/>
      <c r="D82" s="13"/>
      <c r="E82" s="168"/>
    </row>
    <row r="83" spans="1:5" ht="15.75" x14ac:dyDescent="0.25">
      <c r="A83" s="136" t="s">
        <v>248</v>
      </c>
      <c r="B83" s="168" t="s">
        <v>249</v>
      </c>
      <c r="C83" s="168" t="s">
        <v>250</v>
      </c>
      <c r="D83" s="68">
        <v>2</v>
      </c>
      <c r="E83" s="168" t="s">
        <v>30</v>
      </c>
    </row>
    <row r="84" spans="1:5" ht="15.75" x14ac:dyDescent="0.25">
      <c r="A84" s="136" t="s">
        <v>251</v>
      </c>
      <c r="B84" s="168" t="s">
        <v>252</v>
      </c>
      <c r="C84" s="168" t="s">
        <v>250</v>
      </c>
      <c r="D84" s="219" t="s">
        <v>253</v>
      </c>
      <c r="E84" s="168" t="s">
        <v>30</v>
      </c>
    </row>
    <row r="85" spans="1:5" ht="15.75" x14ac:dyDescent="0.25">
      <c r="A85" s="13" t="s">
        <v>256</v>
      </c>
      <c r="B85" s="164" t="s">
        <v>257</v>
      </c>
      <c r="C85" s="164" t="s">
        <v>76</v>
      </c>
      <c r="D85" s="13">
        <v>3</v>
      </c>
      <c r="E85" s="168" t="s">
        <v>105</v>
      </c>
    </row>
    <row r="86" spans="1:5" ht="15.75" x14ac:dyDescent="0.25">
      <c r="A86" s="60" t="s">
        <v>258</v>
      </c>
      <c r="B86" s="168" t="s">
        <v>259</v>
      </c>
      <c r="C86" s="168" t="s">
        <v>148</v>
      </c>
      <c r="D86" s="68">
        <v>1</v>
      </c>
      <c r="E86" s="168" t="s">
        <v>70</v>
      </c>
    </row>
    <row r="87" spans="1:5" ht="15.75" x14ac:dyDescent="0.25">
      <c r="A87" s="60" t="s">
        <v>261</v>
      </c>
      <c r="B87" s="168" t="s">
        <v>262</v>
      </c>
      <c r="C87" s="34" t="s">
        <v>148</v>
      </c>
      <c r="D87" s="68">
        <v>3</v>
      </c>
      <c r="E87" s="168" t="s">
        <v>150</v>
      </c>
    </row>
    <row r="88" spans="1:5" ht="15.75" x14ac:dyDescent="0.25">
      <c r="A88" s="136" t="s">
        <v>263</v>
      </c>
      <c r="B88" s="168" t="s">
        <v>264</v>
      </c>
      <c r="C88" s="164" t="s">
        <v>231</v>
      </c>
      <c r="D88" s="68">
        <v>2</v>
      </c>
      <c r="E88" s="168" t="s">
        <v>265</v>
      </c>
    </row>
    <row r="89" spans="1:5" ht="15.75" x14ac:dyDescent="0.25">
      <c r="A89" s="136" t="s">
        <v>23</v>
      </c>
      <c r="B89" s="197" t="s">
        <v>267</v>
      </c>
      <c r="C89" s="168" t="s">
        <v>25</v>
      </c>
      <c r="D89" s="68">
        <v>2</v>
      </c>
      <c r="E89" s="168" t="s">
        <v>268</v>
      </c>
    </row>
    <row r="90" spans="1:5" ht="15.75" x14ac:dyDescent="0.25">
      <c r="A90" s="213" t="s">
        <v>64</v>
      </c>
      <c r="B90" s="177" t="s">
        <v>269</v>
      </c>
      <c r="C90" s="177" t="s">
        <v>66</v>
      </c>
      <c r="D90" s="68">
        <v>2</v>
      </c>
      <c r="E90" s="177" t="s">
        <v>60</v>
      </c>
    </row>
    <row r="91" spans="1:5" ht="15.75" x14ac:dyDescent="0.25">
      <c r="A91" s="138" t="s">
        <v>270</v>
      </c>
      <c r="B91" s="175" t="s">
        <v>271</v>
      </c>
      <c r="C91" s="210" t="s">
        <v>38</v>
      </c>
      <c r="D91" s="139">
        <v>2</v>
      </c>
      <c r="E91" s="210" t="s">
        <v>70</v>
      </c>
    </row>
    <row r="92" spans="1:5" ht="15.75" hidden="1" x14ac:dyDescent="0.25">
      <c r="A92" s="220"/>
      <c r="B92" s="198"/>
      <c r="C92" s="198"/>
      <c r="D92" s="221"/>
      <c r="E92" s="197"/>
    </row>
    <row r="93" spans="1:5" ht="15.75" hidden="1" x14ac:dyDescent="0.25">
      <c r="A93" s="210"/>
      <c r="B93" s="175"/>
      <c r="C93" s="210"/>
      <c r="D93" s="139"/>
      <c r="E93" s="210"/>
    </row>
    <row r="94" spans="1:5" ht="15.75" hidden="1" x14ac:dyDescent="0.25">
      <c r="A94" s="203" t="s">
        <v>1</v>
      </c>
      <c r="B94" s="203" t="s">
        <v>274</v>
      </c>
      <c r="C94" s="203" t="s">
        <v>3</v>
      </c>
      <c r="D94" s="127" t="s">
        <v>15</v>
      </c>
      <c r="E94" s="127" t="s">
        <v>12</v>
      </c>
    </row>
    <row r="95" spans="1:5" ht="15.75" hidden="1" x14ac:dyDescent="0.25">
      <c r="A95" s="54"/>
      <c r="B95" s="175"/>
      <c r="C95" s="177" t="s">
        <v>170</v>
      </c>
      <c r="D95" s="45">
        <v>2</v>
      </c>
      <c r="E95" s="175"/>
    </row>
    <row r="96" spans="1:5" ht="15.75" hidden="1" x14ac:dyDescent="0.25">
      <c r="A96" s="204"/>
      <c r="B96" s="204"/>
      <c r="C96" s="204" t="s">
        <v>170</v>
      </c>
      <c r="D96" s="141">
        <v>2</v>
      </c>
      <c r="E96" s="175"/>
    </row>
    <row r="97" spans="1:5" ht="15.75" hidden="1" x14ac:dyDescent="0.25">
      <c r="A97" s="210"/>
      <c r="B97" s="175"/>
      <c r="C97" s="210"/>
      <c r="D97" s="143"/>
      <c r="E97" s="220"/>
    </row>
    <row r="98" spans="1:5" ht="15.75" hidden="1" x14ac:dyDescent="0.25">
      <c r="A98" s="209" t="s">
        <v>1</v>
      </c>
      <c r="B98" s="209" t="s">
        <v>280</v>
      </c>
      <c r="C98" s="209" t="s">
        <v>3</v>
      </c>
      <c r="D98" s="145"/>
      <c r="E98" s="209" t="s">
        <v>12</v>
      </c>
    </row>
    <row r="99" spans="1:5" ht="15.75" x14ac:dyDescent="0.25">
      <c r="A99" s="66" t="s">
        <v>121</v>
      </c>
      <c r="B99" s="164" t="s">
        <v>122</v>
      </c>
      <c r="C99" s="164" t="s">
        <v>50</v>
      </c>
      <c r="D99" s="13">
        <v>4</v>
      </c>
      <c r="E99" s="169" t="s">
        <v>60</v>
      </c>
    </row>
    <row r="100" spans="1:5" ht="15.75" x14ac:dyDescent="0.25">
      <c r="A100" s="140" t="s">
        <v>160</v>
      </c>
      <c r="B100" s="164" t="s">
        <v>161</v>
      </c>
      <c r="C100" s="164" t="s">
        <v>79</v>
      </c>
      <c r="D100" s="13">
        <v>4</v>
      </c>
      <c r="E100" s="169" t="s">
        <v>285</v>
      </c>
    </row>
    <row r="101" spans="1:5" ht="15.75" x14ac:dyDescent="0.25">
      <c r="A101" s="140" t="s">
        <v>139</v>
      </c>
      <c r="B101" s="164" t="s">
        <v>140</v>
      </c>
      <c r="C101" s="164" t="s">
        <v>141</v>
      </c>
      <c r="D101" s="13">
        <v>2</v>
      </c>
      <c r="E101" s="169" t="s">
        <v>54</v>
      </c>
    </row>
    <row r="102" spans="1:5" ht="15.75" x14ac:dyDescent="0.25">
      <c r="A102" s="66" t="s">
        <v>143</v>
      </c>
      <c r="B102" s="169" t="s">
        <v>144</v>
      </c>
      <c r="C102" s="164" t="s">
        <v>141</v>
      </c>
      <c r="D102" s="13">
        <v>2</v>
      </c>
      <c r="E102" s="215" t="s">
        <v>286</v>
      </c>
    </row>
    <row r="103" spans="1:5" ht="15.75" x14ac:dyDescent="0.25">
      <c r="A103" s="70" t="s">
        <v>98</v>
      </c>
      <c r="B103" s="164" t="s">
        <v>99</v>
      </c>
      <c r="C103" s="164" t="s">
        <v>100</v>
      </c>
      <c r="D103" s="13">
        <v>1</v>
      </c>
      <c r="E103" s="207" t="s">
        <v>51</v>
      </c>
    </row>
    <row r="104" spans="1:5" ht="15.75" x14ac:dyDescent="0.25">
      <c r="A104" s="70" t="s">
        <v>103</v>
      </c>
      <c r="B104" s="177" t="s">
        <v>104</v>
      </c>
      <c r="C104" s="164" t="s">
        <v>100</v>
      </c>
      <c r="D104" s="13">
        <v>3</v>
      </c>
      <c r="E104" s="207" t="s">
        <v>287</v>
      </c>
    </row>
    <row r="105" spans="1:5" ht="15.75" x14ac:dyDescent="0.25">
      <c r="A105" s="67" t="s">
        <v>216</v>
      </c>
      <c r="B105" s="229" t="s">
        <v>217</v>
      </c>
      <c r="C105" s="192" t="s">
        <v>214</v>
      </c>
      <c r="D105" s="13">
        <v>1</v>
      </c>
      <c r="E105" s="207" t="s">
        <v>286</v>
      </c>
    </row>
    <row r="106" spans="1:5" ht="15.75" x14ac:dyDescent="0.25">
      <c r="A106" s="68" t="s">
        <v>212</v>
      </c>
      <c r="B106" s="229" t="s">
        <v>213</v>
      </c>
      <c r="C106" s="192" t="s">
        <v>214</v>
      </c>
      <c r="D106" s="13">
        <v>2</v>
      </c>
      <c r="E106" s="207" t="s">
        <v>286</v>
      </c>
    </row>
    <row r="107" spans="1:5" ht="15.75" x14ac:dyDescent="0.25">
      <c r="A107" s="140" t="s">
        <v>288</v>
      </c>
      <c r="B107" s="176" t="s">
        <v>289</v>
      </c>
      <c r="C107" s="164" t="s">
        <v>290</v>
      </c>
      <c r="D107" s="13">
        <v>2</v>
      </c>
      <c r="E107" s="230" t="s">
        <v>291</v>
      </c>
    </row>
    <row r="108" spans="1:5" ht="15.75" x14ac:dyDescent="0.25">
      <c r="A108" s="140" t="s">
        <v>111</v>
      </c>
      <c r="B108" s="164" t="s">
        <v>112</v>
      </c>
      <c r="C108" s="168" t="s">
        <v>113</v>
      </c>
      <c r="D108" s="68">
        <v>2</v>
      </c>
      <c r="E108" s="169" t="s">
        <v>285</v>
      </c>
    </row>
    <row r="109" spans="1:5" ht="15.75" x14ac:dyDescent="0.25">
      <c r="A109" s="69" t="s">
        <v>294</v>
      </c>
      <c r="B109" s="168" t="s">
        <v>295</v>
      </c>
      <c r="C109" s="168" t="s">
        <v>76</v>
      </c>
      <c r="D109" s="68">
        <v>4</v>
      </c>
      <c r="E109" s="169" t="s">
        <v>296</v>
      </c>
    </row>
    <row r="110" spans="1:5" ht="15.75" x14ac:dyDescent="0.25">
      <c r="A110" s="140" t="s">
        <v>115</v>
      </c>
      <c r="B110" s="164" t="s">
        <v>116</v>
      </c>
      <c r="C110" s="164" t="s">
        <v>297</v>
      </c>
      <c r="D110" s="13">
        <v>2</v>
      </c>
      <c r="E110" s="169" t="s">
        <v>41</v>
      </c>
    </row>
    <row r="111" spans="1:5" ht="15.75" x14ac:dyDescent="0.25">
      <c r="A111" s="140" t="s">
        <v>119</v>
      </c>
      <c r="B111" s="164" t="s">
        <v>120</v>
      </c>
      <c r="C111" s="164" t="s">
        <v>297</v>
      </c>
      <c r="D111" s="13">
        <v>2</v>
      </c>
      <c r="E111" s="169" t="s">
        <v>41</v>
      </c>
    </row>
    <row r="112" spans="1:5" ht="15.75" x14ac:dyDescent="0.25">
      <c r="A112" s="146" t="s">
        <v>298</v>
      </c>
      <c r="B112" s="54" t="s">
        <v>299</v>
      </c>
      <c r="C112" s="54" t="s">
        <v>300</v>
      </c>
      <c r="D112" s="39">
        <v>2</v>
      </c>
      <c r="E112" s="215" t="s">
        <v>41</v>
      </c>
    </row>
    <row r="113" spans="1:5" ht="15.75" x14ac:dyDescent="0.25">
      <c r="A113" s="140" t="s">
        <v>298</v>
      </c>
      <c r="B113" s="56" t="s">
        <v>301</v>
      </c>
      <c r="C113" s="56" t="s">
        <v>300</v>
      </c>
      <c r="D113" s="13">
        <v>2</v>
      </c>
      <c r="E113" s="169" t="s">
        <v>285</v>
      </c>
    </row>
    <row r="114" spans="1:5" ht="15.75" x14ac:dyDescent="0.25">
      <c r="A114" s="70" t="s">
        <v>261</v>
      </c>
      <c r="B114" s="164" t="s">
        <v>262</v>
      </c>
      <c r="C114" s="56" t="s">
        <v>148</v>
      </c>
      <c r="D114" s="13">
        <v>3</v>
      </c>
      <c r="E114" s="169" t="s">
        <v>285</v>
      </c>
    </row>
    <row r="115" spans="1:5" ht="15.75" x14ac:dyDescent="0.25">
      <c r="A115" s="70" t="s">
        <v>258</v>
      </c>
      <c r="B115" s="60" t="s">
        <v>259</v>
      </c>
      <c r="C115" s="60" t="s">
        <v>148</v>
      </c>
      <c r="D115" s="68">
        <v>1</v>
      </c>
      <c r="E115" s="169" t="s">
        <v>70</v>
      </c>
    </row>
    <row r="116" spans="1:5" ht="15.75" x14ac:dyDescent="0.25">
      <c r="A116" s="136" t="s">
        <v>197</v>
      </c>
      <c r="B116" s="168" t="s">
        <v>198</v>
      </c>
      <c r="C116" s="168" t="s">
        <v>199</v>
      </c>
      <c r="D116" s="68">
        <v>1</v>
      </c>
      <c r="E116" s="164" t="s">
        <v>30</v>
      </c>
    </row>
    <row r="117" spans="1:5" ht="15.75" x14ac:dyDescent="0.25">
      <c r="A117" s="136" t="s">
        <v>200</v>
      </c>
      <c r="B117" s="56" t="s">
        <v>201</v>
      </c>
      <c r="C117" s="168" t="s">
        <v>199</v>
      </c>
      <c r="D117" s="68">
        <v>1</v>
      </c>
      <c r="E117" s="164" t="s">
        <v>41</v>
      </c>
    </row>
    <row r="118" spans="1:5" ht="15.75" x14ac:dyDescent="0.25">
      <c r="A118" s="91" t="s">
        <v>248</v>
      </c>
      <c r="B118" s="164" t="s">
        <v>249</v>
      </c>
      <c r="C118" s="169" t="s">
        <v>302</v>
      </c>
      <c r="D118" s="38">
        <v>2</v>
      </c>
      <c r="E118" s="164" t="s">
        <v>285</v>
      </c>
    </row>
    <row r="119" spans="1:5" ht="15.75" x14ac:dyDescent="0.25">
      <c r="A119" s="140" t="s">
        <v>303</v>
      </c>
      <c r="B119" s="169" t="s">
        <v>304</v>
      </c>
      <c r="C119" s="169" t="s">
        <v>305</v>
      </c>
      <c r="D119" s="38">
        <v>2</v>
      </c>
      <c r="E119" s="169" t="s">
        <v>105</v>
      </c>
    </row>
    <row r="120" spans="1:5" ht="15.75" x14ac:dyDescent="0.25">
      <c r="A120" s="70" t="s">
        <v>306</v>
      </c>
      <c r="B120" s="169" t="s">
        <v>307</v>
      </c>
      <c r="C120" s="169" t="s">
        <v>308</v>
      </c>
      <c r="D120" s="38">
        <v>2</v>
      </c>
      <c r="E120" s="169" t="s">
        <v>105</v>
      </c>
    </row>
    <row r="121" spans="1:5" ht="15.75" x14ac:dyDescent="0.25">
      <c r="A121" s="140" t="s">
        <v>222</v>
      </c>
      <c r="B121" s="169" t="s">
        <v>223</v>
      </c>
      <c r="C121" s="169" t="s">
        <v>224</v>
      </c>
      <c r="D121" s="38">
        <v>2</v>
      </c>
      <c r="E121" s="169" t="s">
        <v>30</v>
      </c>
    </row>
    <row r="122" spans="1:5" ht="15.75" hidden="1" x14ac:dyDescent="0.25">
      <c r="A122" s="94" t="s">
        <v>247</v>
      </c>
      <c r="B122" s="211"/>
      <c r="C122" s="169"/>
      <c r="D122" s="38"/>
      <c r="E122" s="169" t="s">
        <v>309</v>
      </c>
    </row>
    <row r="123" spans="1:5" ht="15.75" x14ac:dyDescent="0.25">
      <c r="A123" s="140" t="s">
        <v>310</v>
      </c>
      <c r="B123" s="169" t="s">
        <v>311</v>
      </c>
      <c r="C123" s="169" t="s">
        <v>154</v>
      </c>
      <c r="D123" s="38">
        <v>4</v>
      </c>
      <c r="E123" s="169" t="s">
        <v>54</v>
      </c>
    </row>
    <row r="124" spans="1:5" x14ac:dyDescent="0.25">
      <c r="A124" s="13" t="s">
        <v>86</v>
      </c>
      <c r="B124" s="37" t="s">
        <v>87</v>
      </c>
      <c r="C124" s="24" t="s">
        <v>88</v>
      </c>
      <c r="D124" s="13">
        <v>3</v>
      </c>
      <c r="E124" s="30" t="s">
        <v>89</v>
      </c>
    </row>
    <row r="125" spans="1:5" ht="15.75" hidden="1" x14ac:dyDescent="0.25">
      <c r="A125" s="169"/>
      <c r="B125" s="169"/>
      <c r="C125" s="169"/>
      <c r="D125" s="38"/>
      <c r="E125" s="169"/>
    </row>
    <row r="126" spans="1:5" ht="15.75" hidden="1" x14ac:dyDescent="0.25">
      <c r="A126" s="169"/>
      <c r="B126" s="169"/>
      <c r="C126" s="70"/>
      <c r="D126" s="38"/>
      <c r="E126" s="169"/>
    </row>
    <row r="127" spans="1:5" ht="15.75" hidden="1" x14ac:dyDescent="0.25">
      <c r="A127" s="166"/>
      <c r="B127" s="166" t="s">
        <v>316</v>
      </c>
      <c r="C127" s="166" t="s">
        <v>3</v>
      </c>
      <c r="D127" s="21"/>
      <c r="E127" s="166"/>
    </row>
    <row r="128" spans="1:5" ht="15.75" x14ac:dyDescent="0.25">
      <c r="A128" s="34" t="s">
        <v>80</v>
      </c>
      <c r="B128" s="164" t="s">
        <v>319</v>
      </c>
      <c r="C128" s="164" t="s">
        <v>82</v>
      </c>
      <c r="D128" s="237" t="s">
        <v>320</v>
      </c>
      <c r="E128" s="164" t="s">
        <v>285</v>
      </c>
    </row>
    <row r="129" spans="1:5" ht="15.75" x14ac:dyDescent="0.25">
      <c r="A129" s="34" t="s">
        <v>202</v>
      </c>
      <c r="B129" s="168" t="s">
        <v>203</v>
      </c>
      <c r="C129" s="164" t="s">
        <v>204</v>
      </c>
      <c r="D129" s="13">
        <v>2</v>
      </c>
      <c r="E129" s="164" t="s">
        <v>285</v>
      </c>
    </row>
    <row r="130" spans="1:5" ht="15.75" x14ac:dyDescent="0.25">
      <c r="A130" s="34" t="s">
        <v>322</v>
      </c>
      <c r="B130" s="164" t="s">
        <v>323</v>
      </c>
      <c r="C130" s="164" t="s">
        <v>324</v>
      </c>
      <c r="D130" s="13">
        <v>1</v>
      </c>
      <c r="E130" s="164" t="s">
        <v>325</v>
      </c>
    </row>
    <row r="131" spans="1:5" ht="15.75" x14ac:dyDescent="0.25">
      <c r="A131" s="34" t="s">
        <v>326</v>
      </c>
      <c r="B131" s="164" t="s">
        <v>327</v>
      </c>
      <c r="C131" s="164" t="s">
        <v>328</v>
      </c>
      <c r="D131" s="13">
        <v>2</v>
      </c>
      <c r="E131" s="164" t="s">
        <v>60</v>
      </c>
    </row>
    <row r="132" spans="1:5" ht="15.75" x14ac:dyDescent="0.25">
      <c r="A132" s="34" t="s">
        <v>263</v>
      </c>
      <c r="B132" s="197" t="s">
        <v>264</v>
      </c>
      <c r="C132" s="164" t="s">
        <v>231</v>
      </c>
      <c r="D132" s="13">
        <v>2</v>
      </c>
      <c r="E132" s="197" t="s">
        <v>329</v>
      </c>
    </row>
    <row r="133" spans="1:5" ht="15.75" x14ac:dyDescent="0.25">
      <c r="A133" s="24" t="s">
        <v>71</v>
      </c>
      <c r="B133" s="164" t="s">
        <v>72</v>
      </c>
      <c r="C133" s="164" t="s">
        <v>73</v>
      </c>
      <c r="D133" s="13">
        <v>2</v>
      </c>
      <c r="E133" s="164" t="s">
        <v>89</v>
      </c>
    </row>
    <row r="134" spans="1:5" ht="15.75" x14ac:dyDescent="0.25">
      <c r="A134" s="34" t="s">
        <v>288</v>
      </c>
      <c r="B134" s="164" t="s">
        <v>289</v>
      </c>
      <c r="C134" s="164" t="s">
        <v>330</v>
      </c>
      <c r="D134" s="13">
        <v>2</v>
      </c>
      <c r="E134" s="164" t="s">
        <v>291</v>
      </c>
    </row>
    <row r="135" spans="1:5" ht="15.75" x14ac:dyDescent="0.25">
      <c r="A135" s="34" t="s">
        <v>111</v>
      </c>
      <c r="B135" s="164" t="s">
        <v>112</v>
      </c>
      <c r="C135" s="164" t="s">
        <v>462</v>
      </c>
      <c r="D135" s="13">
        <v>2</v>
      </c>
      <c r="E135" s="164" t="s">
        <v>285</v>
      </c>
    </row>
    <row r="136" spans="1:5" ht="15.75" x14ac:dyDescent="0.25">
      <c r="A136" s="66" t="s">
        <v>55</v>
      </c>
      <c r="B136" s="168" t="s">
        <v>59</v>
      </c>
      <c r="C136" s="168" t="s">
        <v>57</v>
      </c>
      <c r="D136" s="68">
        <v>2</v>
      </c>
      <c r="E136" s="169" t="s">
        <v>60</v>
      </c>
    </row>
    <row r="137" spans="1:5" ht="15.75" x14ac:dyDescent="0.25">
      <c r="A137" s="66" t="s">
        <v>331</v>
      </c>
      <c r="B137" s="164" t="s">
        <v>332</v>
      </c>
      <c r="C137" s="164" t="s">
        <v>57</v>
      </c>
      <c r="D137" s="13">
        <v>1</v>
      </c>
      <c r="E137" s="169" t="s">
        <v>105</v>
      </c>
    </row>
    <row r="138" spans="1:5" ht="15.75" x14ac:dyDescent="0.25">
      <c r="A138" s="34" t="s">
        <v>333</v>
      </c>
      <c r="B138" s="164" t="s">
        <v>334</v>
      </c>
      <c r="C138" s="164" t="s">
        <v>302</v>
      </c>
      <c r="D138" s="13" t="s">
        <v>320</v>
      </c>
      <c r="E138" s="164" t="s">
        <v>329</v>
      </c>
    </row>
    <row r="139" spans="1:5" ht="15.75" x14ac:dyDescent="0.25">
      <c r="A139" s="34" t="s">
        <v>248</v>
      </c>
      <c r="B139" s="164" t="s">
        <v>249</v>
      </c>
      <c r="C139" s="164" t="s">
        <v>302</v>
      </c>
      <c r="D139" s="13">
        <v>2</v>
      </c>
      <c r="E139" s="164" t="s">
        <v>105</v>
      </c>
    </row>
    <row r="140" spans="1:5" ht="15.75" x14ac:dyDescent="0.25">
      <c r="A140" s="34" t="s">
        <v>336</v>
      </c>
      <c r="B140" s="164" t="s">
        <v>337</v>
      </c>
      <c r="C140" s="164" t="s">
        <v>338</v>
      </c>
      <c r="D140" s="13">
        <v>2</v>
      </c>
      <c r="E140" s="164" t="s">
        <v>286</v>
      </c>
    </row>
    <row r="141" spans="1:5" ht="15.75" x14ac:dyDescent="0.25">
      <c r="A141" s="34" t="s">
        <v>139</v>
      </c>
      <c r="B141" s="164" t="s">
        <v>140</v>
      </c>
      <c r="C141" s="164" t="s">
        <v>141</v>
      </c>
      <c r="D141" s="13">
        <v>2</v>
      </c>
      <c r="E141" s="164" t="s">
        <v>240</v>
      </c>
    </row>
    <row r="142" spans="1:5" ht="15.75" x14ac:dyDescent="0.25">
      <c r="A142" s="34" t="s">
        <v>143</v>
      </c>
      <c r="B142" s="164" t="s">
        <v>144</v>
      </c>
      <c r="C142" s="164" t="s">
        <v>141</v>
      </c>
      <c r="D142" s="13">
        <v>2</v>
      </c>
      <c r="E142" s="164" t="s">
        <v>286</v>
      </c>
    </row>
    <row r="143" spans="1:5" x14ac:dyDescent="0.25">
      <c r="A143" s="34" t="s">
        <v>86</v>
      </c>
      <c r="B143" s="37" t="s">
        <v>87</v>
      </c>
      <c r="C143" s="24" t="s">
        <v>88</v>
      </c>
      <c r="D143" s="13">
        <v>3</v>
      </c>
      <c r="E143" s="30" t="s">
        <v>89</v>
      </c>
    </row>
    <row r="144" spans="1:5" ht="15.75" hidden="1" x14ac:dyDescent="0.25">
      <c r="A144" s="94"/>
      <c r="B144" s="211"/>
      <c r="C144" s="211"/>
      <c r="D144" s="13">
        <v>2</v>
      </c>
      <c r="E144" s="211"/>
    </row>
    <row r="145" spans="1:5" ht="15.75" hidden="1" x14ac:dyDescent="0.25">
      <c r="A145" s="164"/>
      <c r="B145" s="164"/>
      <c r="C145" s="164"/>
      <c r="D145" s="13"/>
      <c r="E145" s="164"/>
    </row>
    <row r="146" spans="1:5" ht="15.75" hidden="1" x14ac:dyDescent="0.25">
      <c r="A146" s="203" t="s">
        <v>1</v>
      </c>
      <c r="B146" s="203" t="s">
        <v>340</v>
      </c>
      <c r="C146" s="203" t="s">
        <v>3</v>
      </c>
      <c r="D146" s="127" t="s">
        <v>15</v>
      </c>
      <c r="E146" s="127" t="s">
        <v>12</v>
      </c>
    </row>
    <row r="147" spans="1:5" ht="15.75" x14ac:dyDescent="0.25">
      <c r="A147" s="54" t="s">
        <v>344</v>
      </c>
      <c r="B147" s="175" t="s">
        <v>345</v>
      </c>
      <c r="C147" s="177" t="s">
        <v>346</v>
      </c>
      <c r="D147" s="45">
        <v>2</v>
      </c>
      <c r="E147" s="175" t="s">
        <v>286</v>
      </c>
    </row>
    <row r="148" spans="1:5" ht="15.75" x14ac:dyDescent="0.25">
      <c r="A148" s="204" t="s">
        <v>170</v>
      </c>
      <c r="B148" s="204" t="s">
        <v>347</v>
      </c>
      <c r="C148" s="204" t="s">
        <v>348</v>
      </c>
      <c r="D148" s="141">
        <v>1</v>
      </c>
      <c r="E148" s="175" t="s">
        <v>286</v>
      </c>
    </row>
    <row r="149" spans="1:5" ht="15.75" x14ac:dyDescent="0.25">
      <c r="A149" s="210" t="s">
        <v>170</v>
      </c>
      <c r="B149" s="175" t="s">
        <v>349</v>
      </c>
      <c r="C149" s="204" t="s">
        <v>348</v>
      </c>
      <c r="D149" s="143">
        <v>1</v>
      </c>
      <c r="E149" s="210" t="s">
        <v>105</v>
      </c>
    </row>
    <row r="150" spans="1:5" ht="15.75" x14ac:dyDescent="0.25">
      <c r="A150" s="210" t="s">
        <v>350</v>
      </c>
      <c r="B150" s="175" t="s">
        <v>351</v>
      </c>
      <c r="C150" s="204" t="s">
        <v>352</v>
      </c>
      <c r="D150" s="143">
        <v>2</v>
      </c>
      <c r="E150" s="210" t="s">
        <v>286</v>
      </c>
    </row>
    <row r="151" spans="1:5" ht="15.75" hidden="1" x14ac:dyDescent="0.25">
      <c r="A151" s="210"/>
      <c r="B151" s="210"/>
      <c r="C151" s="235"/>
      <c r="D151" s="153"/>
      <c r="E151" s="210"/>
    </row>
    <row r="152" spans="1:5" ht="15.75" hidden="1" x14ac:dyDescent="0.25">
      <c r="A152" s="203"/>
      <c r="B152" s="203" t="s">
        <v>354</v>
      </c>
      <c r="C152" s="166" t="s">
        <v>3</v>
      </c>
      <c r="D152" s="21"/>
      <c r="E152" s="242"/>
    </row>
    <row r="153" spans="1:5" ht="15.75" x14ac:dyDescent="0.25">
      <c r="A153" s="76" t="s">
        <v>98</v>
      </c>
      <c r="B153" s="164" t="s">
        <v>99</v>
      </c>
      <c r="C153" s="164" t="s">
        <v>100</v>
      </c>
      <c r="D153" s="13">
        <v>1</v>
      </c>
      <c r="E153" s="168" t="s">
        <v>51</v>
      </c>
    </row>
    <row r="154" spans="1:5" ht="15.75" x14ac:dyDescent="0.25">
      <c r="A154" s="24" t="s">
        <v>103</v>
      </c>
      <c r="B154" s="168" t="s">
        <v>104</v>
      </c>
      <c r="C154" s="168" t="s">
        <v>100</v>
      </c>
      <c r="D154" s="13">
        <v>3</v>
      </c>
      <c r="E154" s="164" t="s">
        <v>105</v>
      </c>
    </row>
    <row r="155" spans="1:5" ht="15.75" x14ac:dyDescent="0.25">
      <c r="A155" s="76" t="s">
        <v>124</v>
      </c>
      <c r="B155" s="168" t="s">
        <v>125</v>
      </c>
      <c r="C155" s="168" t="s">
        <v>126</v>
      </c>
      <c r="D155" s="68">
        <v>2</v>
      </c>
      <c r="E155" s="168" t="s">
        <v>51</v>
      </c>
    </row>
    <row r="156" spans="1:5" ht="15.75" x14ac:dyDescent="0.25">
      <c r="A156" s="76" t="s">
        <v>128</v>
      </c>
      <c r="B156" s="168" t="s">
        <v>129</v>
      </c>
      <c r="C156" s="168" t="s">
        <v>126</v>
      </c>
      <c r="D156" s="68">
        <v>2</v>
      </c>
      <c r="E156" s="168" t="s">
        <v>105</v>
      </c>
    </row>
    <row r="157" spans="1:5" ht="15.75" x14ac:dyDescent="0.25">
      <c r="A157" s="76" t="s">
        <v>131</v>
      </c>
      <c r="B157" s="168" t="s">
        <v>132</v>
      </c>
      <c r="C157" s="168" t="s">
        <v>133</v>
      </c>
      <c r="D157" s="68">
        <v>1</v>
      </c>
      <c r="E157" s="168" t="s">
        <v>105</v>
      </c>
    </row>
    <row r="158" spans="1:5" ht="15.75" x14ac:dyDescent="0.25">
      <c r="A158" s="30" t="s">
        <v>136</v>
      </c>
      <c r="B158" s="168" t="s">
        <v>137</v>
      </c>
      <c r="C158" s="168" t="s">
        <v>133</v>
      </c>
      <c r="D158" s="68">
        <v>2</v>
      </c>
      <c r="E158" s="168" t="s">
        <v>105</v>
      </c>
    </row>
    <row r="159" spans="1:5" ht="15.75" x14ac:dyDescent="0.25">
      <c r="A159" s="155" t="s">
        <v>358</v>
      </c>
      <c r="B159" s="172" t="s">
        <v>359</v>
      </c>
      <c r="C159" s="243" t="s">
        <v>148</v>
      </c>
      <c r="D159" s="244">
        <v>1</v>
      </c>
      <c r="E159" s="210"/>
    </row>
    <row r="160" spans="1:5" ht="15.75" x14ac:dyDescent="0.25">
      <c r="A160" s="16" t="s">
        <v>258</v>
      </c>
      <c r="B160" s="175" t="s">
        <v>259</v>
      </c>
      <c r="C160" s="175" t="s">
        <v>148</v>
      </c>
      <c r="D160" s="123">
        <v>1</v>
      </c>
      <c r="E160" s="243"/>
    </row>
    <row r="161" spans="1:5" ht="15.75" x14ac:dyDescent="0.25">
      <c r="A161" s="158" t="s">
        <v>168</v>
      </c>
      <c r="B161" s="175" t="s">
        <v>169</v>
      </c>
      <c r="C161" s="177" t="s">
        <v>148</v>
      </c>
      <c r="D161" s="39">
        <v>2</v>
      </c>
      <c r="E161" s="168"/>
    </row>
    <row r="162" spans="1:5" ht="15.75" x14ac:dyDescent="0.25">
      <c r="A162" s="76" t="s">
        <v>43</v>
      </c>
      <c r="B162" s="164" t="s">
        <v>44</v>
      </c>
      <c r="C162" s="168" t="s">
        <v>45</v>
      </c>
      <c r="D162" s="68">
        <v>2</v>
      </c>
      <c r="E162" s="168" t="s">
        <v>47</v>
      </c>
    </row>
    <row r="163" spans="1:5" ht="15.75" x14ac:dyDescent="0.25">
      <c r="A163" s="79" t="s">
        <v>256</v>
      </c>
      <c r="B163" s="169" t="s">
        <v>257</v>
      </c>
      <c r="C163" s="66" t="s">
        <v>76</v>
      </c>
      <c r="D163" s="38">
        <v>3</v>
      </c>
      <c r="E163" s="168" t="s">
        <v>105</v>
      </c>
    </row>
    <row r="164" spans="1:5" ht="15.75" x14ac:dyDescent="0.25">
      <c r="A164" s="76" t="s">
        <v>361</v>
      </c>
      <c r="B164" s="164" t="s">
        <v>362</v>
      </c>
      <c r="C164" s="168" t="s">
        <v>363</v>
      </c>
      <c r="D164" s="68">
        <v>2</v>
      </c>
      <c r="E164" s="168" t="s">
        <v>364</v>
      </c>
    </row>
    <row r="165" spans="1:5" ht="15.75" x14ac:dyDescent="0.25">
      <c r="A165" s="76" t="s">
        <v>365</v>
      </c>
      <c r="B165" s="168" t="s">
        <v>366</v>
      </c>
      <c r="C165" s="168" t="s">
        <v>363</v>
      </c>
      <c r="D165" s="245">
        <v>2</v>
      </c>
      <c r="E165" s="168" t="s">
        <v>364</v>
      </c>
    </row>
    <row r="166" spans="1:5" ht="15.75" hidden="1" x14ac:dyDescent="0.25">
      <c r="A166" s="160"/>
      <c r="B166" s="210"/>
      <c r="C166" s="235"/>
      <c r="D166" s="153"/>
      <c r="E166" s="220"/>
    </row>
    <row r="167" spans="1:5" ht="15.75" hidden="1" x14ac:dyDescent="0.25">
      <c r="A167" s="138"/>
      <c r="B167" s="210"/>
      <c r="C167" s="235"/>
      <c r="D167" s="153"/>
      <c r="E167" s="220"/>
    </row>
    <row r="168" spans="1:5" ht="15.75" hidden="1" x14ac:dyDescent="0.25">
      <c r="A168" s="203" t="s">
        <v>1</v>
      </c>
      <c r="B168" s="203" t="s">
        <v>368</v>
      </c>
      <c r="C168" s="203" t="s">
        <v>3</v>
      </c>
      <c r="D168" s="127" t="s">
        <v>15</v>
      </c>
      <c r="E168" s="127" t="s">
        <v>12</v>
      </c>
    </row>
    <row r="169" spans="1:5" ht="15.75" x14ac:dyDescent="0.25">
      <c r="A169" s="54"/>
      <c r="B169" s="175" t="s">
        <v>170</v>
      </c>
      <c r="C169" s="177" t="s">
        <v>170</v>
      </c>
      <c r="D169" s="45">
        <v>2</v>
      </c>
      <c r="E169" s="175"/>
    </row>
    <row r="170" spans="1:5" ht="15.75" x14ac:dyDescent="0.25">
      <c r="A170" s="204"/>
      <c r="B170" s="204" t="s">
        <v>170</v>
      </c>
      <c r="C170" s="204" t="s">
        <v>170</v>
      </c>
      <c r="D170" s="141">
        <v>2</v>
      </c>
      <c r="E170" s="175"/>
    </row>
    <row r="171" spans="1:5" ht="15.75" hidden="1" x14ac:dyDescent="0.25">
      <c r="A171" s="210"/>
      <c r="B171" s="175"/>
      <c r="C171" s="210"/>
      <c r="D171" s="143"/>
      <c r="E171" s="220"/>
    </row>
    <row r="172" spans="1:5" ht="15.75" hidden="1" x14ac:dyDescent="0.25">
      <c r="A172" s="210"/>
      <c r="B172" s="210"/>
      <c r="C172" s="235"/>
      <c r="D172" s="153"/>
      <c r="E172" s="220"/>
    </row>
    <row r="173" spans="1:5" ht="15.75" hidden="1" x14ac:dyDescent="0.25">
      <c r="A173" s="209"/>
      <c r="B173" s="209" t="s">
        <v>373</v>
      </c>
      <c r="C173" s="209" t="s">
        <v>3</v>
      </c>
      <c r="D173" s="145"/>
      <c r="E173" s="166"/>
    </row>
    <row r="174" spans="1:5" ht="15.75" x14ac:dyDescent="0.25">
      <c r="A174" s="168" t="s">
        <v>376</v>
      </c>
      <c r="B174" s="168" t="s">
        <v>377</v>
      </c>
      <c r="C174" s="168" t="s">
        <v>378</v>
      </c>
      <c r="D174" s="67">
        <v>4</v>
      </c>
      <c r="E174" s="168" t="s">
        <v>60</v>
      </c>
    </row>
    <row r="175" spans="1:5" ht="15.75" x14ac:dyDescent="0.25">
      <c r="A175" s="60" t="s">
        <v>185</v>
      </c>
      <c r="B175" s="168" t="s">
        <v>186</v>
      </c>
      <c r="C175" s="28" t="s">
        <v>187</v>
      </c>
      <c r="D175" s="68">
        <v>4</v>
      </c>
      <c r="E175" s="168" t="s">
        <v>379</v>
      </c>
    </row>
    <row r="176" spans="1:5" ht="15.75" x14ac:dyDescent="0.25">
      <c r="A176" s="168" t="s">
        <v>380</v>
      </c>
      <c r="B176" s="168" t="s">
        <v>381</v>
      </c>
      <c r="C176" s="76" t="s">
        <v>382</v>
      </c>
      <c r="D176" s="13">
        <v>4</v>
      </c>
      <c r="E176" s="168" t="s">
        <v>60</v>
      </c>
    </row>
    <row r="177" spans="1:5" ht="15.75" x14ac:dyDescent="0.25">
      <c r="A177" s="198" t="s">
        <v>383</v>
      </c>
      <c r="B177" s="168" t="s">
        <v>384</v>
      </c>
      <c r="C177" s="168" t="s">
        <v>385</v>
      </c>
      <c r="D177" s="251">
        <v>3</v>
      </c>
      <c r="E177" s="168" t="s">
        <v>215</v>
      </c>
    </row>
    <row r="178" spans="1:5" ht="15.75" x14ac:dyDescent="0.25">
      <c r="A178" s="67" t="s">
        <v>216</v>
      </c>
      <c r="B178" s="168" t="s">
        <v>217</v>
      </c>
      <c r="C178" s="168" t="s">
        <v>214</v>
      </c>
      <c r="D178" s="68">
        <v>1</v>
      </c>
      <c r="E178" s="172" t="s">
        <v>215</v>
      </c>
    </row>
    <row r="179" spans="1:5" ht="15.75" x14ac:dyDescent="0.25">
      <c r="A179" s="88" t="s">
        <v>143</v>
      </c>
      <c r="B179" s="215" t="s">
        <v>144</v>
      </c>
      <c r="C179" s="172" t="s">
        <v>141</v>
      </c>
      <c r="D179" s="67">
        <v>2</v>
      </c>
      <c r="E179" s="172" t="s">
        <v>215</v>
      </c>
    </row>
    <row r="180" spans="1:5" ht="15.75" x14ac:dyDescent="0.25">
      <c r="A180" s="168" t="s">
        <v>139</v>
      </c>
      <c r="B180" s="168" t="s">
        <v>386</v>
      </c>
      <c r="C180" s="172" t="s">
        <v>141</v>
      </c>
      <c r="D180" s="68">
        <v>2</v>
      </c>
      <c r="E180" s="168" t="s">
        <v>105</v>
      </c>
    </row>
    <row r="181" spans="1:5" ht="15.75" x14ac:dyDescent="0.25">
      <c r="A181" s="68" t="s">
        <v>212</v>
      </c>
      <c r="B181" s="168" t="s">
        <v>213</v>
      </c>
      <c r="C181" s="168" t="s">
        <v>214</v>
      </c>
      <c r="D181" s="68">
        <v>2</v>
      </c>
      <c r="E181" s="168" t="s">
        <v>215</v>
      </c>
    </row>
    <row r="182" spans="1:5" ht="15.75" x14ac:dyDescent="0.25">
      <c r="A182" s="168" t="s">
        <v>387</v>
      </c>
      <c r="B182" s="164" t="s">
        <v>388</v>
      </c>
      <c r="C182" s="168" t="s">
        <v>389</v>
      </c>
      <c r="D182" s="68">
        <v>1</v>
      </c>
      <c r="E182" s="168" t="s">
        <v>60</v>
      </c>
    </row>
    <row r="183" spans="1:5" ht="15.75" x14ac:dyDescent="0.25">
      <c r="A183" s="168" t="s">
        <v>390</v>
      </c>
      <c r="B183" s="168" t="s">
        <v>391</v>
      </c>
      <c r="C183" s="168" t="s">
        <v>389</v>
      </c>
      <c r="D183" s="68">
        <v>3</v>
      </c>
      <c r="E183" s="168" t="s">
        <v>392</v>
      </c>
    </row>
    <row r="184" spans="1:5" ht="15.75" x14ac:dyDescent="0.25">
      <c r="A184" s="60" t="s">
        <v>261</v>
      </c>
      <c r="B184" s="164" t="s">
        <v>262</v>
      </c>
      <c r="C184" s="164" t="s">
        <v>148</v>
      </c>
      <c r="D184" s="68">
        <v>3</v>
      </c>
      <c r="E184" s="164" t="s">
        <v>285</v>
      </c>
    </row>
    <row r="185" spans="1:5" ht="15.75" x14ac:dyDescent="0.25">
      <c r="A185" s="253" t="s">
        <v>258</v>
      </c>
      <c r="B185" s="177" t="s">
        <v>259</v>
      </c>
      <c r="C185" s="164" t="s">
        <v>148</v>
      </c>
      <c r="D185" s="68">
        <v>1</v>
      </c>
      <c r="E185" s="164" t="s">
        <v>70</v>
      </c>
    </row>
    <row r="186" spans="1:5" ht="15.75" x14ac:dyDescent="0.25">
      <c r="A186" s="229" t="s">
        <v>350</v>
      </c>
      <c r="B186" s="229" t="s">
        <v>351</v>
      </c>
      <c r="C186" s="192" t="s">
        <v>352</v>
      </c>
      <c r="D186" s="68">
        <v>2</v>
      </c>
      <c r="E186" s="164" t="s">
        <v>215</v>
      </c>
    </row>
    <row r="187" spans="1:5" ht="15.75" hidden="1" x14ac:dyDescent="0.25">
      <c r="A187" s="206" t="s">
        <v>170</v>
      </c>
      <c r="B187" s="206"/>
      <c r="C187" s="192" t="s">
        <v>352</v>
      </c>
      <c r="D187" s="68">
        <v>2</v>
      </c>
      <c r="E187" s="164" t="s">
        <v>215</v>
      </c>
    </row>
    <row r="188" spans="1:5" ht="15.75" x14ac:dyDescent="0.25">
      <c r="A188" s="176" t="s">
        <v>336</v>
      </c>
      <c r="B188" s="176" t="s">
        <v>337</v>
      </c>
      <c r="C188" s="164" t="s">
        <v>338</v>
      </c>
      <c r="D188" s="68">
        <v>2</v>
      </c>
      <c r="E188" s="164"/>
    </row>
    <row r="189" spans="1:5" ht="15.75" hidden="1" x14ac:dyDescent="0.25">
      <c r="A189" s="168"/>
      <c r="B189" s="168"/>
      <c r="C189" s="168"/>
      <c r="D189" s="68"/>
      <c r="E189" s="168"/>
    </row>
    <row r="190" spans="1:5" ht="15.75" hidden="1" x14ac:dyDescent="0.25">
      <c r="A190" s="168"/>
      <c r="B190" s="168"/>
      <c r="C190" s="168"/>
      <c r="D190" s="68"/>
      <c r="E190" s="168"/>
    </row>
    <row r="191" spans="1:5" ht="15.75" hidden="1" x14ac:dyDescent="0.25">
      <c r="A191" s="166"/>
      <c r="B191" s="166" t="s">
        <v>395</v>
      </c>
      <c r="C191" s="166" t="s">
        <v>3</v>
      </c>
      <c r="D191" s="21"/>
      <c r="E191" s="166"/>
    </row>
    <row r="192" spans="1:5" ht="15.75" x14ac:dyDescent="0.25">
      <c r="A192" s="164" t="s">
        <v>160</v>
      </c>
      <c r="B192" s="168" t="s">
        <v>161</v>
      </c>
      <c r="C192" s="164" t="s">
        <v>399</v>
      </c>
      <c r="D192" s="13">
        <v>4</v>
      </c>
      <c r="E192" s="164" t="s">
        <v>105</v>
      </c>
    </row>
    <row r="193" spans="1:5" ht="15.75" x14ac:dyDescent="0.25">
      <c r="A193" s="164" t="s">
        <v>115</v>
      </c>
      <c r="B193" s="164" t="s">
        <v>116</v>
      </c>
      <c r="C193" s="164" t="s">
        <v>389</v>
      </c>
      <c r="D193" s="13">
        <v>2</v>
      </c>
      <c r="E193" s="164" t="s">
        <v>89</v>
      </c>
    </row>
    <row r="194" spans="1:5" ht="15.75" x14ac:dyDescent="0.25">
      <c r="A194" s="164" t="s">
        <v>119</v>
      </c>
      <c r="B194" s="164" t="s">
        <v>120</v>
      </c>
      <c r="C194" s="164" t="s">
        <v>389</v>
      </c>
      <c r="D194" s="13">
        <v>2</v>
      </c>
      <c r="E194" s="164" t="s">
        <v>89</v>
      </c>
    </row>
    <row r="195" spans="1:5" ht="15.75" x14ac:dyDescent="0.25">
      <c r="A195" s="177" t="s">
        <v>71</v>
      </c>
      <c r="B195" s="177" t="s">
        <v>72</v>
      </c>
      <c r="C195" s="164" t="s">
        <v>73</v>
      </c>
      <c r="D195" s="13">
        <v>2</v>
      </c>
      <c r="E195" s="164" t="s">
        <v>89</v>
      </c>
    </row>
    <row r="196" spans="1:5" ht="15.75" x14ac:dyDescent="0.25">
      <c r="A196" s="210" t="s">
        <v>36</v>
      </c>
      <c r="B196" s="229" t="s">
        <v>400</v>
      </c>
      <c r="C196" s="223" t="s">
        <v>38</v>
      </c>
      <c r="D196" s="13">
        <v>1</v>
      </c>
      <c r="E196" s="168" t="s">
        <v>41</v>
      </c>
    </row>
    <row r="197" spans="1:5" ht="15.75" x14ac:dyDescent="0.25">
      <c r="A197" s="210" t="s">
        <v>270</v>
      </c>
      <c r="B197" s="175" t="s">
        <v>271</v>
      </c>
      <c r="C197" s="223" t="s">
        <v>38</v>
      </c>
      <c r="D197" s="13">
        <v>2</v>
      </c>
      <c r="E197" s="220" t="s">
        <v>70</v>
      </c>
    </row>
    <row r="198" spans="1:5" ht="15.75" x14ac:dyDescent="0.25">
      <c r="A198" s="163" t="s">
        <v>218</v>
      </c>
      <c r="B198" s="176" t="s">
        <v>219</v>
      </c>
      <c r="C198" s="164" t="s">
        <v>401</v>
      </c>
      <c r="D198" s="13">
        <v>2</v>
      </c>
      <c r="E198" s="164" t="s">
        <v>402</v>
      </c>
    </row>
    <row r="199" spans="1:5" ht="15.75" hidden="1" x14ac:dyDescent="0.25">
      <c r="A199" s="164" t="s">
        <v>170</v>
      </c>
      <c r="B199" s="169"/>
      <c r="C199" s="211"/>
      <c r="D199" s="13">
        <v>2</v>
      </c>
      <c r="E199" s="169" t="s">
        <v>60</v>
      </c>
    </row>
    <row r="200" spans="1:5" ht="15.75" hidden="1" x14ac:dyDescent="0.25">
      <c r="A200" s="164" t="s">
        <v>170</v>
      </c>
      <c r="B200" s="211" t="s">
        <v>247</v>
      </c>
      <c r="C200" s="211"/>
      <c r="D200" s="13">
        <v>2</v>
      </c>
      <c r="E200" s="211" t="s">
        <v>403</v>
      </c>
    </row>
    <row r="201" spans="1:5" ht="15.75" x14ac:dyDescent="0.25">
      <c r="A201" s="164" t="s">
        <v>404</v>
      </c>
      <c r="B201" s="164" t="s">
        <v>405</v>
      </c>
      <c r="C201" s="164" t="s">
        <v>34</v>
      </c>
      <c r="D201" s="13">
        <v>2</v>
      </c>
      <c r="E201" s="164" t="s">
        <v>406</v>
      </c>
    </row>
    <row r="202" spans="1:5" x14ac:dyDescent="0.25">
      <c r="A202" s="24" t="s">
        <v>61</v>
      </c>
      <c r="B202" s="34" t="s">
        <v>62</v>
      </c>
      <c r="C202" s="34" t="s">
        <v>63</v>
      </c>
      <c r="D202" s="13">
        <v>2</v>
      </c>
      <c r="E202" s="13" t="s">
        <v>41</v>
      </c>
    </row>
    <row r="203" spans="1:5" ht="15.75" x14ac:dyDescent="0.25">
      <c r="A203" s="177" t="s">
        <v>408</v>
      </c>
      <c r="B203" s="177" t="s">
        <v>409</v>
      </c>
      <c r="C203" s="34" t="s">
        <v>63</v>
      </c>
      <c r="D203" s="13">
        <v>1</v>
      </c>
      <c r="E203" s="91" t="s">
        <v>41</v>
      </c>
    </row>
    <row r="204" spans="1:5" ht="15.75" x14ac:dyDescent="0.25">
      <c r="A204" s="229" t="s">
        <v>350</v>
      </c>
      <c r="B204" s="229" t="s">
        <v>351</v>
      </c>
      <c r="C204" s="192" t="s">
        <v>352</v>
      </c>
      <c r="D204" s="13">
        <v>2</v>
      </c>
      <c r="E204" s="164" t="s">
        <v>215</v>
      </c>
    </row>
    <row r="205" spans="1:5" ht="15.75" hidden="1" x14ac:dyDescent="0.25">
      <c r="A205" s="206" t="s">
        <v>170</v>
      </c>
      <c r="B205" s="206"/>
      <c r="C205" s="192" t="s">
        <v>352</v>
      </c>
      <c r="D205" s="13">
        <v>2</v>
      </c>
      <c r="E205" s="164" t="s">
        <v>215</v>
      </c>
    </row>
    <row r="206" spans="1:5" ht="15.75" x14ac:dyDescent="0.25">
      <c r="A206" s="176" t="s">
        <v>410</v>
      </c>
      <c r="B206" s="176" t="s">
        <v>411</v>
      </c>
      <c r="C206" s="164" t="s">
        <v>412</v>
      </c>
      <c r="D206" s="13">
        <v>2</v>
      </c>
      <c r="E206" s="164" t="s">
        <v>298</v>
      </c>
    </row>
    <row r="207" spans="1:5" ht="15.75" x14ac:dyDescent="0.25">
      <c r="A207" s="164" t="s">
        <v>413</v>
      </c>
      <c r="B207" s="164" t="s">
        <v>414</v>
      </c>
      <c r="C207" s="164" t="s">
        <v>412</v>
      </c>
      <c r="D207" s="13">
        <v>2</v>
      </c>
      <c r="E207" s="164" t="s">
        <v>415</v>
      </c>
    </row>
    <row r="208" spans="1:5" ht="15.75" x14ac:dyDescent="0.25">
      <c r="A208" s="164" t="s">
        <v>111</v>
      </c>
      <c r="B208" s="164" t="s">
        <v>112</v>
      </c>
      <c r="C208" s="164" t="s">
        <v>416</v>
      </c>
      <c r="D208" s="13">
        <v>2</v>
      </c>
      <c r="E208" s="164" t="s">
        <v>417</v>
      </c>
    </row>
    <row r="209" spans="1:5" ht="15.75" x14ac:dyDescent="0.25">
      <c r="A209" s="164" t="s">
        <v>106</v>
      </c>
      <c r="B209" s="164" t="s">
        <v>107</v>
      </c>
      <c r="C209" s="164" t="s">
        <v>418</v>
      </c>
      <c r="D209" s="13">
        <v>2</v>
      </c>
      <c r="E209" s="164" t="s">
        <v>417</v>
      </c>
    </row>
    <row r="210" spans="1:5" ht="15.75" hidden="1" x14ac:dyDescent="0.25">
      <c r="A210" s="164"/>
      <c r="B210" s="164"/>
      <c r="C210" s="164"/>
      <c r="D210" s="13"/>
      <c r="E210" s="164"/>
    </row>
    <row r="211" spans="1:5" ht="15.75" hidden="1" x14ac:dyDescent="0.25">
      <c r="A211" s="164"/>
      <c r="B211" s="164"/>
      <c r="C211" s="164"/>
      <c r="D211" s="13"/>
      <c r="E211" s="164"/>
    </row>
    <row r="212" spans="1:5" ht="15.75" hidden="1" x14ac:dyDescent="0.25">
      <c r="A212" s="166"/>
      <c r="B212" s="166" t="s">
        <v>420</v>
      </c>
      <c r="C212" s="166" t="s">
        <v>3</v>
      </c>
      <c r="D212" s="21"/>
      <c r="E212" s="168"/>
    </row>
    <row r="213" spans="1:5" ht="15.75" x14ac:dyDescent="0.25">
      <c r="A213" s="164" t="s">
        <v>171</v>
      </c>
      <c r="B213" s="164" t="s">
        <v>172</v>
      </c>
      <c r="C213" s="168" t="s">
        <v>148</v>
      </c>
      <c r="D213" s="13">
        <v>2</v>
      </c>
      <c r="E213" s="168" t="s">
        <v>150</v>
      </c>
    </row>
    <row r="214" spans="1:5" ht="15.75" x14ac:dyDescent="0.25">
      <c r="A214" s="168" t="s">
        <v>423</v>
      </c>
      <c r="B214" s="164" t="s">
        <v>424</v>
      </c>
      <c r="C214" s="164" t="s">
        <v>425</v>
      </c>
      <c r="D214" s="13">
        <v>2</v>
      </c>
      <c r="E214" s="164" t="s">
        <v>60</v>
      </c>
    </row>
    <row r="215" spans="1:5" ht="15.75" x14ac:dyDescent="0.25">
      <c r="A215" s="28" t="s">
        <v>43</v>
      </c>
      <c r="B215" s="168" t="s">
        <v>44</v>
      </c>
      <c r="C215" s="164" t="s">
        <v>45</v>
      </c>
      <c r="D215" s="13">
        <v>2</v>
      </c>
      <c r="E215" s="168" t="s">
        <v>426</v>
      </c>
    </row>
    <row r="216" spans="1:5" ht="15.75" x14ac:dyDescent="0.25">
      <c r="A216" s="168" t="s">
        <v>387</v>
      </c>
      <c r="B216" s="164" t="s">
        <v>388</v>
      </c>
      <c r="C216" s="164" t="s">
        <v>389</v>
      </c>
      <c r="D216" s="13">
        <v>1</v>
      </c>
      <c r="E216" s="168" t="s">
        <v>427</v>
      </c>
    </row>
    <row r="217" spans="1:5" ht="15.75" x14ac:dyDescent="0.25">
      <c r="A217" s="24" t="s">
        <v>428</v>
      </c>
      <c r="B217" s="196" t="s">
        <v>429</v>
      </c>
      <c r="C217" s="24" t="s">
        <v>50</v>
      </c>
      <c r="D217" s="13">
        <v>2</v>
      </c>
      <c r="E217" s="76" t="s">
        <v>417</v>
      </c>
    </row>
    <row r="218" spans="1:5" ht="15.75" hidden="1" x14ac:dyDescent="0.25">
      <c r="A218" s="168"/>
      <c r="B218" s="166"/>
      <c r="C218" s="164"/>
      <c r="D218" s="13"/>
      <c r="E218" s="168"/>
    </row>
    <row r="219" spans="1:5" ht="15.75" hidden="1" x14ac:dyDescent="0.25">
      <c r="A219" s="168"/>
      <c r="B219" s="166" t="s">
        <v>431</v>
      </c>
      <c r="C219" s="166" t="s">
        <v>3</v>
      </c>
      <c r="D219" s="21"/>
      <c r="E219" s="168"/>
    </row>
    <row r="220" spans="1:5" ht="15.75" x14ac:dyDescent="0.25">
      <c r="A220" s="168" t="s">
        <v>434</v>
      </c>
      <c r="B220" s="168" t="s">
        <v>59</v>
      </c>
      <c r="C220" s="168" t="s">
        <v>57</v>
      </c>
      <c r="D220" s="13">
        <v>2</v>
      </c>
      <c r="E220" s="168" t="s">
        <v>60</v>
      </c>
    </row>
    <row r="221" spans="1:5" ht="15.75" x14ac:dyDescent="0.25">
      <c r="A221" s="168" t="s">
        <v>55</v>
      </c>
      <c r="B221" s="168" t="s">
        <v>56</v>
      </c>
      <c r="C221" s="168" t="s">
        <v>57</v>
      </c>
      <c r="D221" s="13">
        <v>2</v>
      </c>
      <c r="E221" s="168" t="s">
        <v>240</v>
      </c>
    </row>
    <row r="222" spans="1:5" ht="15.75" x14ac:dyDescent="0.25">
      <c r="A222" s="92" t="s">
        <v>43</v>
      </c>
      <c r="B222" s="168" t="s">
        <v>44</v>
      </c>
      <c r="C222" s="164" t="s">
        <v>45</v>
      </c>
      <c r="D222" s="13">
        <v>2</v>
      </c>
      <c r="E222" s="168" t="s">
        <v>426</v>
      </c>
    </row>
    <row r="223" spans="1:5" ht="15.75" x14ac:dyDescent="0.25">
      <c r="A223" s="164" t="s">
        <v>71</v>
      </c>
      <c r="B223" s="164" t="s">
        <v>72</v>
      </c>
      <c r="C223" s="164" t="s">
        <v>73</v>
      </c>
      <c r="D223" s="13">
        <v>2</v>
      </c>
      <c r="E223" s="164" t="s">
        <v>41</v>
      </c>
    </row>
    <row r="224" spans="1:5" ht="15.75" x14ac:dyDescent="0.25">
      <c r="A224" s="164" t="s">
        <v>270</v>
      </c>
      <c r="B224" s="164" t="s">
        <v>271</v>
      </c>
      <c r="C224" s="164" t="s">
        <v>38</v>
      </c>
      <c r="D224" s="13">
        <v>2</v>
      </c>
      <c r="E224" s="164" t="s">
        <v>70</v>
      </c>
    </row>
    <row r="225" spans="1:5" ht="15.75" x14ac:dyDescent="0.25">
      <c r="A225" s="54" t="s">
        <v>436</v>
      </c>
      <c r="B225" s="177" t="s">
        <v>437</v>
      </c>
      <c r="C225" s="164" t="s">
        <v>308</v>
      </c>
      <c r="D225" s="13">
        <v>2</v>
      </c>
      <c r="E225" s="164" t="s">
        <v>438</v>
      </c>
    </row>
    <row r="226" spans="1:5" ht="15.75" x14ac:dyDescent="0.25">
      <c r="A226" s="229" t="s">
        <v>350</v>
      </c>
      <c r="B226" s="229" t="s">
        <v>351</v>
      </c>
      <c r="C226" s="192" t="s">
        <v>352</v>
      </c>
      <c r="D226" s="13">
        <v>2</v>
      </c>
      <c r="E226" s="164" t="s">
        <v>215</v>
      </c>
    </row>
    <row r="227" spans="1:5" ht="15.75" x14ac:dyDescent="0.25">
      <c r="A227" s="93" t="s">
        <v>439</v>
      </c>
      <c r="B227" s="176" t="s">
        <v>440</v>
      </c>
      <c r="C227" s="164" t="s">
        <v>199</v>
      </c>
      <c r="D227" s="13" t="s">
        <v>320</v>
      </c>
      <c r="E227" s="164" t="s">
        <v>41</v>
      </c>
    </row>
    <row r="228" spans="1:5" ht="15.75" x14ac:dyDescent="0.25">
      <c r="A228" s="164" t="s">
        <v>442</v>
      </c>
      <c r="B228" s="168" t="s">
        <v>443</v>
      </c>
      <c r="C228" s="168" t="s">
        <v>184</v>
      </c>
      <c r="D228" s="13">
        <v>2</v>
      </c>
      <c r="E228" s="168" t="s">
        <v>70</v>
      </c>
    </row>
    <row r="229" spans="1:5" ht="15.75" x14ac:dyDescent="0.25">
      <c r="A229" s="168" t="s">
        <v>444</v>
      </c>
      <c r="B229" s="168" t="s">
        <v>445</v>
      </c>
      <c r="C229" s="168" t="s">
        <v>184</v>
      </c>
      <c r="D229" s="13" t="s">
        <v>320</v>
      </c>
      <c r="E229" s="168" t="s">
        <v>105</v>
      </c>
    </row>
    <row r="230" spans="1:5" ht="15.75" x14ac:dyDescent="0.25">
      <c r="A230" s="215" t="s">
        <v>36</v>
      </c>
      <c r="B230" s="164" t="s">
        <v>37</v>
      </c>
      <c r="C230" s="164" t="s">
        <v>38</v>
      </c>
      <c r="D230" s="13">
        <v>1</v>
      </c>
      <c r="E230" s="164" t="s">
        <v>41</v>
      </c>
    </row>
    <row r="231" spans="1:5" ht="15.75" x14ac:dyDescent="0.25">
      <c r="A231" s="56" t="s">
        <v>225</v>
      </c>
      <c r="B231" s="169" t="s">
        <v>226</v>
      </c>
      <c r="C231" s="164" t="s">
        <v>227</v>
      </c>
      <c r="D231" s="13">
        <v>2</v>
      </c>
      <c r="E231" s="164" t="s">
        <v>54</v>
      </c>
    </row>
    <row r="232" spans="1:5" ht="15.75" x14ac:dyDescent="0.25">
      <c r="A232" s="34" t="s">
        <v>121</v>
      </c>
      <c r="B232" s="164" t="s">
        <v>122</v>
      </c>
      <c r="C232" s="164" t="s">
        <v>50</v>
      </c>
      <c r="D232" s="13">
        <v>4</v>
      </c>
      <c r="E232" s="164" t="s">
        <v>60</v>
      </c>
    </row>
    <row r="233" spans="1:5" ht="15.75" x14ac:dyDescent="0.25">
      <c r="A233" s="164" t="s">
        <v>288</v>
      </c>
      <c r="B233" s="164" t="s">
        <v>289</v>
      </c>
      <c r="C233" s="164" t="s">
        <v>330</v>
      </c>
      <c r="D233" s="13">
        <v>2</v>
      </c>
      <c r="E233" s="164" t="s">
        <v>60</v>
      </c>
    </row>
    <row r="234" spans="1:5" ht="15.75" x14ac:dyDescent="0.25">
      <c r="A234" s="56" t="s">
        <v>331</v>
      </c>
      <c r="B234" s="164" t="s">
        <v>332</v>
      </c>
      <c r="C234" s="164" t="s">
        <v>57</v>
      </c>
      <c r="D234" s="13">
        <v>1</v>
      </c>
      <c r="E234" s="164" t="s">
        <v>426</v>
      </c>
    </row>
    <row r="235" spans="1:5" ht="15.75" x14ac:dyDescent="0.25">
      <c r="A235" s="94" t="s">
        <v>189</v>
      </c>
      <c r="B235" s="211" t="s">
        <v>448</v>
      </c>
      <c r="C235" s="211" t="s">
        <v>191</v>
      </c>
      <c r="D235" s="36" t="s">
        <v>449</v>
      </c>
      <c r="E235" s="164" t="s">
        <v>54</v>
      </c>
    </row>
    <row r="236" spans="1:5" ht="15.75" x14ac:dyDescent="0.25">
      <c r="A236" s="196" t="s">
        <v>193</v>
      </c>
      <c r="B236" s="196" t="s">
        <v>450</v>
      </c>
      <c r="C236" s="164" t="s">
        <v>191</v>
      </c>
      <c r="D236" s="13">
        <v>2</v>
      </c>
      <c r="E236" s="164" t="s">
        <v>54</v>
      </c>
    </row>
    <row r="237" spans="1:5" ht="15.75" x14ac:dyDescent="0.25">
      <c r="A237" s="164" t="s">
        <v>115</v>
      </c>
      <c r="B237" s="164" t="s">
        <v>116</v>
      </c>
      <c r="C237" s="164" t="s">
        <v>389</v>
      </c>
      <c r="D237" s="13">
        <v>2</v>
      </c>
      <c r="E237" s="164" t="s">
        <v>89</v>
      </c>
    </row>
    <row r="238" spans="1:5" ht="15.75" x14ac:dyDescent="0.25">
      <c r="A238" s="164" t="s">
        <v>119</v>
      </c>
      <c r="B238" s="164" t="s">
        <v>120</v>
      </c>
      <c r="C238" s="164" t="s">
        <v>389</v>
      </c>
      <c r="D238" s="13">
        <v>2</v>
      </c>
      <c r="E238" s="164" t="s">
        <v>89</v>
      </c>
    </row>
    <row r="239" spans="1:5" ht="15.75" x14ac:dyDescent="0.25">
      <c r="A239" s="56" t="s">
        <v>361</v>
      </c>
      <c r="B239" s="164" t="s">
        <v>362</v>
      </c>
      <c r="C239" s="164" t="s">
        <v>363</v>
      </c>
      <c r="D239" s="13">
        <v>2</v>
      </c>
      <c r="E239" s="164" t="s">
        <v>364</v>
      </c>
    </row>
    <row r="240" spans="1:5" ht="15.75" x14ac:dyDescent="0.25">
      <c r="A240" s="56" t="s">
        <v>365</v>
      </c>
      <c r="B240" s="164" t="s">
        <v>366</v>
      </c>
      <c r="C240" s="164" t="s">
        <v>363</v>
      </c>
      <c r="D240" s="13">
        <v>2</v>
      </c>
      <c r="E240" s="164" t="s">
        <v>364</v>
      </c>
    </row>
    <row r="241" spans="1:5" ht="15.75" x14ac:dyDescent="0.25">
      <c r="A241" s="164" t="s">
        <v>152</v>
      </c>
      <c r="B241" s="164" t="s">
        <v>245</v>
      </c>
      <c r="C241" s="164" t="s">
        <v>154</v>
      </c>
      <c r="D241" s="13">
        <v>2</v>
      </c>
      <c r="E241" s="164" t="s">
        <v>325</v>
      </c>
    </row>
    <row r="242" spans="1:5" ht="15.75" x14ac:dyDescent="0.25">
      <c r="A242" s="9" t="s">
        <v>243</v>
      </c>
      <c r="B242" s="164" t="s">
        <v>244</v>
      </c>
      <c r="C242" s="164" t="s">
        <v>154</v>
      </c>
      <c r="D242" s="13">
        <v>2</v>
      </c>
      <c r="E242" s="164" t="s">
        <v>451</v>
      </c>
    </row>
    <row r="243" spans="1:5" ht="15.75" x14ac:dyDescent="0.25">
      <c r="A243" s="164" t="s">
        <v>413</v>
      </c>
      <c r="B243" s="164" t="s">
        <v>414</v>
      </c>
      <c r="C243" s="164" t="s">
        <v>141</v>
      </c>
      <c r="D243" s="13">
        <v>2</v>
      </c>
      <c r="E243" s="164" t="s">
        <v>426</v>
      </c>
    </row>
    <row r="244" spans="1:5" ht="15.75" x14ac:dyDescent="0.25">
      <c r="A244" s="164" t="s">
        <v>139</v>
      </c>
      <c r="B244" s="164" t="s">
        <v>386</v>
      </c>
      <c r="C244" s="164" t="s">
        <v>141</v>
      </c>
      <c r="D244" s="13">
        <v>2</v>
      </c>
      <c r="E244" s="164" t="s">
        <v>105</v>
      </c>
    </row>
    <row r="245" spans="1:5" ht="15.75" x14ac:dyDescent="0.25">
      <c r="A245" s="34" t="s">
        <v>61</v>
      </c>
      <c r="B245" s="197" t="s">
        <v>62</v>
      </c>
      <c r="C245" s="34" t="s">
        <v>63</v>
      </c>
      <c r="D245" s="13">
        <v>2</v>
      </c>
      <c r="E245" s="164" t="s">
        <v>89</v>
      </c>
    </row>
    <row r="246" spans="1:5" ht="15.75" hidden="1" x14ac:dyDescent="0.25">
      <c r="A246" s="211" t="s">
        <v>247</v>
      </c>
      <c r="B246" s="211"/>
      <c r="C246" s="211"/>
      <c r="D246" s="36"/>
      <c r="E246" s="164" t="s">
        <v>89</v>
      </c>
    </row>
    <row r="247" spans="1:5" ht="15.75" hidden="1" x14ac:dyDescent="0.25">
      <c r="A247" s="164" t="s">
        <v>452</v>
      </c>
      <c r="B247" s="164"/>
      <c r="C247" s="164"/>
      <c r="D247" s="13"/>
      <c r="E247" s="164"/>
    </row>
    <row r="248" spans="1:5" ht="15.75" hidden="1" x14ac:dyDescent="0.25">
      <c r="A248" s="164"/>
      <c r="B248" s="164"/>
      <c r="C248" s="164"/>
      <c r="D248" s="13"/>
      <c r="E248" s="164"/>
    </row>
    <row r="249" spans="1:5" ht="15.75" hidden="1" x14ac:dyDescent="0.25">
      <c r="A249" s="164"/>
      <c r="B249" s="164"/>
      <c r="C249" s="164"/>
      <c r="D249" s="13"/>
      <c r="E249" s="164"/>
    </row>
    <row r="250" spans="1:5" ht="15.75" hidden="1" x14ac:dyDescent="0.25">
      <c r="A250" s="166"/>
      <c r="B250" s="166" t="s">
        <v>455</v>
      </c>
      <c r="C250" s="166" t="s">
        <v>3</v>
      </c>
      <c r="D250" s="21"/>
      <c r="E250" s="166"/>
    </row>
    <row r="251" spans="1:5" ht="15.75" x14ac:dyDescent="0.25">
      <c r="A251" s="34" t="s">
        <v>121</v>
      </c>
      <c r="B251" s="164" t="s">
        <v>122</v>
      </c>
      <c r="C251" s="164" t="s">
        <v>458</v>
      </c>
      <c r="D251" s="13">
        <v>4</v>
      </c>
      <c r="E251" s="164" t="s">
        <v>105</v>
      </c>
    </row>
    <row r="252" spans="1:5" ht="15.75" x14ac:dyDescent="0.25">
      <c r="A252" s="56" t="s">
        <v>98</v>
      </c>
      <c r="B252" s="164" t="s">
        <v>99</v>
      </c>
      <c r="C252" s="164" t="s">
        <v>100</v>
      </c>
      <c r="D252" s="13">
        <v>1</v>
      </c>
      <c r="E252" s="164" t="s">
        <v>54</v>
      </c>
    </row>
    <row r="253" spans="1:5" ht="15.75" x14ac:dyDescent="0.25">
      <c r="A253" s="56" t="s">
        <v>103</v>
      </c>
      <c r="B253" s="164" t="s">
        <v>104</v>
      </c>
      <c r="C253" s="164" t="s">
        <v>100</v>
      </c>
      <c r="D253" s="13">
        <v>3</v>
      </c>
      <c r="E253" s="175" t="s">
        <v>265</v>
      </c>
    </row>
    <row r="254" spans="1:5" ht="15.75" x14ac:dyDescent="0.25">
      <c r="A254" s="164" t="s">
        <v>124</v>
      </c>
      <c r="B254" s="164" t="s">
        <v>125</v>
      </c>
      <c r="C254" s="164" t="s">
        <v>126</v>
      </c>
      <c r="D254" s="13">
        <v>2</v>
      </c>
      <c r="E254" s="175" t="s">
        <v>364</v>
      </c>
    </row>
    <row r="255" spans="1:5" ht="15.75" x14ac:dyDescent="0.25">
      <c r="A255" s="164" t="s">
        <v>128</v>
      </c>
      <c r="B255" s="169" t="s">
        <v>129</v>
      </c>
      <c r="C255" s="164" t="s">
        <v>126</v>
      </c>
      <c r="D255" s="13">
        <v>2</v>
      </c>
      <c r="E255" s="175" t="s">
        <v>364</v>
      </c>
    </row>
    <row r="256" spans="1:5" ht="15.75" x14ac:dyDescent="0.25">
      <c r="A256" s="56" t="s">
        <v>361</v>
      </c>
      <c r="B256" s="164" t="s">
        <v>362</v>
      </c>
      <c r="C256" s="164" t="s">
        <v>460</v>
      </c>
      <c r="D256" s="13">
        <v>2</v>
      </c>
      <c r="E256" s="175" t="s">
        <v>215</v>
      </c>
    </row>
    <row r="257" spans="1:5" ht="15.75" x14ac:dyDescent="0.25">
      <c r="A257" s="56" t="s">
        <v>365</v>
      </c>
      <c r="B257" s="177" t="s">
        <v>366</v>
      </c>
      <c r="C257" s="164" t="s">
        <v>363</v>
      </c>
      <c r="D257" s="13">
        <v>2</v>
      </c>
      <c r="E257" s="175" t="s">
        <v>215</v>
      </c>
    </row>
    <row r="258" spans="1:5" ht="15.75" x14ac:dyDescent="0.25">
      <c r="A258" s="13" t="s">
        <v>216</v>
      </c>
      <c r="B258" s="229" t="s">
        <v>217</v>
      </c>
      <c r="C258" s="192" t="s">
        <v>214</v>
      </c>
      <c r="D258" s="13">
        <v>1</v>
      </c>
      <c r="E258" s="175" t="s">
        <v>54</v>
      </c>
    </row>
    <row r="259" spans="1:5" ht="15.75" x14ac:dyDescent="0.25">
      <c r="A259" s="13" t="s">
        <v>212</v>
      </c>
      <c r="B259" s="229" t="s">
        <v>213</v>
      </c>
      <c r="C259" s="192" t="s">
        <v>214</v>
      </c>
      <c r="D259" s="13">
        <v>2</v>
      </c>
      <c r="E259" s="175" t="s">
        <v>215</v>
      </c>
    </row>
    <row r="260" spans="1:5" ht="15.75" x14ac:dyDescent="0.25">
      <c r="A260" s="164" t="s">
        <v>376</v>
      </c>
      <c r="B260" s="176" t="s">
        <v>377</v>
      </c>
      <c r="C260" s="164" t="s">
        <v>378</v>
      </c>
      <c r="D260" s="13">
        <v>4</v>
      </c>
      <c r="E260" s="175" t="s">
        <v>60</v>
      </c>
    </row>
    <row r="261" spans="1:5" ht="15.75" x14ac:dyDescent="0.25">
      <c r="A261" s="164" t="s">
        <v>152</v>
      </c>
      <c r="B261" s="164" t="s">
        <v>245</v>
      </c>
      <c r="C261" s="164" t="s">
        <v>154</v>
      </c>
      <c r="D261" s="13">
        <v>2</v>
      </c>
      <c r="E261" s="175" t="s">
        <v>188</v>
      </c>
    </row>
    <row r="262" spans="1:5" ht="15.75" x14ac:dyDescent="0.25">
      <c r="A262" s="9" t="s">
        <v>243</v>
      </c>
      <c r="B262" s="164" t="s">
        <v>244</v>
      </c>
      <c r="C262" s="164" t="s">
        <v>154</v>
      </c>
      <c r="D262" s="13">
        <v>2</v>
      </c>
      <c r="E262" s="175" t="s">
        <v>54</v>
      </c>
    </row>
    <row r="263" spans="1:5" ht="15.75" x14ac:dyDescent="0.25">
      <c r="A263" s="60" t="s">
        <v>185</v>
      </c>
      <c r="B263" s="164" t="s">
        <v>186</v>
      </c>
      <c r="C263" s="164" t="s">
        <v>187</v>
      </c>
      <c r="D263" s="13">
        <v>4</v>
      </c>
      <c r="E263" s="175" t="s">
        <v>60</v>
      </c>
    </row>
    <row r="264" spans="1:5" ht="15.75" x14ac:dyDescent="0.25">
      <c r="A264" s="56" t="s">
        <v>261</v>
      </c>
      <c r="B264" s="164" t="s">
        <v>262</v>
      </c>
      <c r="C264" s="164" t="s">
        <v>148</v>
      </c>
      <c r="D264" s="13">
        <v>3</v>
      </c>
      <c r="E264" s="164" t="s">
        <v>105</v>
      </c>
    </row>
    <row r="265" spans="1:5" ht="15.75" x14ac:dyDescent="0.25">
      <c r="A265" s="56" t="s">
        <v>258</v>
      </c>
      <c r="B265" s="164" t="s">
        <v>259</v>
      </c>
      <c r="C265" s="164" t="s">
        <v>148</v>
      </c>
      <c r="D265" s="13">
        <v>1</v>
      </c>
      <c r="E265" s="164" t="s">
        <v>461</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131B-2BE5-436C-9075-01873E59C0A9}">
  <sheetPr codeName="Sheet3"/>
  <dimension ref="A1:E182"/>
  <sheetViews>
    <sheetView workbookViewId="0">
      <selection activeCell="B7" sqref="A1:E182"/>
    </sheetView>
  </sheetViews>
  <sheetFormatPr defaultRowHeight="15" x14ac:dyDescent="0.25"/>
  <cols>
    <col min="1" max="1" width="10.42578125" bestFit="1" customWidth="1"/>
    <col min="2" max="2" width="91.7109375" bestFit="1" customWidth="1"/>
    <col min="3" max="3" width="27" bestFit="1" customWidth="1"/>
    <col min="4" max="4" width="8.5703125" bestFit="1" customWidth="1"/>
    <col min="5" max="5" width="15.28515625" bestFit="1" customWidth="1"/>
  </cols>
  <sheetData>
    <row r="1" spans="1:5" x14ac:dyDescent="0.25">
      <c r="A1" cm="1">
        <f t="array" ref="A1:E182">_xlfn.UNIQUE(Table1[])</f>
        <v>0</v>
      </c>
      <c r="B1" t="str">
        <v>February 23-26 (VIRTUAL) 20 rooms  CDT</v>
      </c>
      <c r="C1" t="str">
        <v>Instructor</v>
      </c>
      <c r="D1" t="str">
        <v># of DAYS</v>
      </c>
      <c r="E1" t="str">
        <v>TOPIC</v>
      </c>
    </row>
    <row r="2" spans="1:5" x14ac:dyDescent="0.25">
      <c r="A2" t="str">
        <v>2092D</v>
      </c>
      <c r="B2" t="str">
        <v xml:space="preserve">Mastering Adaptability for Modern Project Success </v>
      </c>
      <c r="C2" t="str">
        <v>Erin Ramirez</v>
      </c>
      <c r="D2">
        <v>2</v>
      </c>
      <c r="E2" t="str">
        <v>soft skills</v>
      </c>
    </row>
    <row r="3" spans="1:5" x14ac:dyDescent="0.25">
      <c r="A3" t="str">
        <v>1892D</v>
      </c>
      <c r="B3" t="str">
        <v>Human Design Pattern Thinking</v>
      </c>
      <c r="C3" t="str">
        <v>Tyson Rydl</v>
      </c>
      <c r="D3">
        <v>2</v>
      </c>
      <c r="E3" t="str">
        <v>PMI Skills</v>
      </c>
    </row>
    <row r="4" spans="1:5" x14ac:dyDescent="0.25">
      <c r="A4" t="str">
        <v>1421D</v>
      </c>
      <c r="B4" t="str">
        <v>AI for Strategic Decisions:  Leveraging Analysis</v>
      </c>
      <c r="C4" t="str">
        <v>Esra Tepeli</v>
      </c>
      <c r="D4">
        <v>1</v>
      </c>
      <c r="E4" t="str">
        <v>AI</v>
      </c>
    </row>
    <row r="5" spans="1:5" x14ac:dyDescent="0.25">
      <c r="A5" t="str">
        <v>0132D</v>
      </c>
      <c r="B5" t="str">
        <v>Build High-Performing Teams: Communicate, Motivate, Excel</v>
      </c>
      <c r="C5" t="str">
        <v>Kristy Tan Neckowicz</v>
      </c>
      <c r="D5">
        <v>2</v>
      </c>
      <c r="E5" t="str">
        <v>Soft Skills</v>
      </c>
    </row>
    <row r="6" spans="1:5" x14ac:dyDescent="0.25">
      <c r="A6" t="str">
        <v>1132D</v>
      </c>
      <c r="B6" t="str">
        <v>Become a Changemaker: Transform Organizations</v>
      </c>
      <c r="C6" t="str">
        <v>Jack Duggal</v>
      </c>
      <c r="D6">
        <v>2</v>
      </c>
      <c r="E6" t="str">
        <v>Change Mgmt</v>
      </c>
    </row>
    <row r="7" spans="1:5" x14ac:dyDescent="0.25">
      <c r="A7" t="str">
        <v>0621D</v>
      </c>
      <c r="B7" t="str">
        <v>Lead Through Uncertainty: Next-Gen Communication Skills</v>
      </c>
      <c r="C7" t="str">
        <v>Jack Duggal</v>
      </c>
      <c r="D7">
        <v>1</v>
      </c>
      <c r="E7" t="str">
        <v>Leadership</v>
      </c>
    </row>
    <row r="8" spans="1:5" x14ac:dyDescent="0.25">
      <c r="A8" t="str">
        <v>0182D</v>
      </c>
      <c r="B8" t="str">
        <v>Business Case—Best Practices for Success</v>
      </c>
      <c r="C8" t="str">
        <v>Klaus Nielsen</v>
      </c>
      <c r="D8">
        <v>2</v>
      </c>
      <c r="E8" t="str">
        <v>Enterprise</v>
      </c>
    </row>
    <row r="9" spans="1:5" x14ac:dyDescent="0.25">
      <c r="A9" t="str">
        <v>0182D</v>
      </c>
      <c r="B9" t="str">
        <v>Mastering Project Management Principles</v>
      </c>
      <c r="C9" t="str">
        <v>Klaus Nielsen</v>
      </c>
      <c r="D9">
        <v>2</v>
      </c>
      <c r="E9" t="str">
        <v>PMO</v>
      </c>
    </row>
    <row r="10" spans="1:5" x14ac:dyDescent="0.25">
      <c r="A10" t="str">
        <v>1702D</v>
      </c>
      <c r="B10" t="str">
        <v>AI Agents for Project Excellence</v>
      </c>
      <c r="C10" t="str">
        <v>Peter Ivanov</v>
      </c>
      <c r="D10">
        <v>2</v>
      </c>
      <c r="E10" t="str">
        <v>AI</v>
      </c>
    </row>
    <row r="11" spans="1:5" x14ac:dyDescent="0.25">
      <c r="A11" t="str">
        <v>1972D</v>
      </c>
      <c r="B11" t="str">
        <v xml:space="preserve">The Adaptive PMO: Mastering Agile Transformation </v>
      </c>
      <c r="C11" t="str">
        <v>Christine Aykac</v>
      </c>
      <c r="D11">
        <v>2</v>
      </c>
      <c r="E11" t="str">
        <v>PMO</v>
      </c>
    </row>
    <row r="12" spans="1:5" x14ac:dyDescent="0.25">
      <c r="A12" t="str">
        <v>0672D</v>
      </c>
      <c r="B12" t="str">
        <v>Proactive Risk Management</v>
      </c>
      <c r="C12" t="str">
        <v>Brad Malone</v>
      </c>
      <c r="D12">
        <v>2</v>
      </c>
      <c r="E12" t="str">
        <v>RISK</v>
      </c>
    </row>
    <row r="13" spans="1:5" x14ac:dyDescent="0.25">
      <c r="A13" t="str">
        <v>1802D</v>
      </c>
      <c r="B13" t="str">
        <v>Leading with AI for Project Managers</v>
      </c>
      <c r="C13" t="str">
        <v>Klaus Boedker</v>
      </c>
      <c r="D13">
        <v>2</v>
      </c>
      <c r="E13" t="str">
        <v>AI</v>
      </c>
    </row>
    <row r="14" spans="1:5" x14ac:dyDescent="0.25">
      <c r="A14" t="str">
        <v>0823D</v>
      </c>
      <c r="B14" t="str">
        <v>Strategic Portfolio Management</v>
      </c>
      <c r="C14" t="str">
        <v>Joyce Brown, Thomas McCabe</v>
      </c>
      <c r="D14">
        <v>3</v>
      </c>
      <c r="E14" t="str">
        <v>PMO</v>
      </c>
    </row>
    <row r="15" spans="1:5" x14ac:dyDescent="0.25">
      <c r="A15" t="str">
        <v>0682D</v>
      </c>
      <c r="B15" t="str">
        <v>Program Management Adaptive Practices</v>
      </c>
      <c r="C15" t="str">
        <v>Michel Thiry</v>
      </c>
      <c r="D15">
        <v>2</v>
      </c>
      <c r="E15" t="str">
        <v>PMO</v>
      </c>
    </row>
    <row r="16" spans="1:5" x14ac:dyDescent="0.25">
      <c r="A16" t="str">
        <v>1074H</v>
      </c>
      <c r="B16" t="str">
        <v>Communication GPS: Keep Your Project on Track</v>
      </c>
      <c r="C16" t="str">
        <v>Kathy Mendias</v>
      </c>
      <c r="D16" t="str">
        <v>Half day</v>
      </c>
      <c r="E16" t="str">
        <v>Soft Skills</v>
      </c>
    </row>
    <row r="17" spans="1:5" x14ac:dyDescent="0.25">
      <c r="A17" t="str">
        <v>2033D</v>
      </c>
      <c r="B17" t="str">
        <v>NEW! Leading AI-enabled Product Development</v>
      </c>
      <c r="C17" t="str">
        <v>Chris Leonard</v>
      </c>
      <c r="D17">
        <v>3</v>
      </c>
      <c r="E17" t="str">
        <v>AI Technical</v>
      </c>
    </row>
    <row r="18" spans="1:5" x14ac:dyDescent="0.25">
      <c r="A18">
        <v>0</v>
      </c>
      <c r="B18">
        <v>0</v>
      </c>
      <c r="C18">
        <v>0</v>
      </c>
      <c r="D18">
        <v>0</v>
      </c>
      <c r="E18">
        <v>0</v>
      </c>
    </row>
    <row r="19" spans="1:5" x14ac:dyDescent="0.25">
      <c r="A19" t="str">
        <v xml:space="preserve">Course ID </v>
      </c>
      <c r="B19" t="str">
        <v>MARCH 16 -19 SCOTTSDALE (PDT) In-Person - 10 rooms</v>
      </c>
      <c r="C19" t="str">
        <v>Instructor</v>
      </c>
      <c r="D19" t="str">
        <v># of DAYS</v>
      </c>
      <c r="E19" t="str">
        <v>TOPIC</v>
      </c>
    </row>
    <row r="20" spans="1:5" x14ac:dyDescent="0.25">
      <c r="A20" t="str">
        <v>0541D</v>
      </c>
      <c r="B20" t="str">
        <v>Managing the Human Side of Projects</v>
      </c>
      <c r="C20" t="str">
        <v>Thomas Jarocki</v>
      </c>
      <c r="D20">
        <v>1</v>
      </c>
      <c r="E20" t="str">
        <v>Project</v>
      </c>
    </row>
    <row r="21" spans="1:5" x14ac:dyDescent="0.25">
      <c r="A21" t="str">
        <v>0643D</v>
      </c>
      <c r="B21" t="str">
        <v>Orchestrate Total Success: People, Projects, Change</v>
      </c>
      <c r="C21" t="str">
        <v>Thomas Jarocki</v>
      </c>
      <c r="D21">
        <v>3</v>
      </c>
      <c r="E21" t="str">
        <v>PM Skills</v>
      </c>
    </row>
    <row r="22" spans="1:5" x14ac:dyDescent="0.25">
      <c r="A22" t="str">
        <v>0422D</v>
      </c>
      <c r="B22" t="str">
        <v>How to Think Strategically and Apply Business Acumen</v>
      </c>
      <c r="C22" t="str">
        <v xml:space="preserve"> Kandis Porter</v>
      </c>
      <c r="D22">
        <v>2</v>
      </c>
      <c r="E22" t="str">
        <v>Enterprise</v>
      </c>
    </row>
    <row r="23" spans="1:5" x14ac:dyDescent="0.25">
      <c r="A23" t="str">
        <v>0402D</v>
      </c>
      <c r="B23" t="str">
        <v>How to Capture Customer Requirements and Develop Project Scope</v>
      </c>
      <c r="C23" t="str">
        <v xml:space="preserve"> Jeff Panning</v>
      </c>
      <c r="D23">
        <v>2</v>
      </c>
      <c r="E23" t="str">
        <v>Project</v>
      </c>
    </row>
    <row r="24" spans="1:5" x14ac:dyDescent="0.25">
      <c r="A24" t="str">
        <v>1482D</v>
      </c>
      <c r="B24" t="str">
        <v>Artificial Intelligence-Powered Project Excellence: Roadmaps, Success Strategies, and Practical Tools</v>
      </c>
      <c r="C24" t="str">
        <v xml:space="preserve">Oscar Wasalik </v>
      </c>
      <c r="D24">
        <v>2</v>
      </c>
      <c r="E24" t="str">
        <v>AI</v>
      </c>
    </row>
    <row r="25" spans="1:5" x14ac:dyDescent="0.25">
      <c r="A25" t="str">
        <v>1552D</v>
      </c>
      <c r="B25" t="str">
        <v>Artificial Intelligence Applied Skills: Unlocking Project Automation and Efficiency Gains</v>
      </c>
      <c r="C25" t="str">
        <v xml:space="preserve">Oscar Wasalik </v>
      </c>
      <c r="D25">
        <v>2</v>
      </c>
      <c r="E25" t="str">
        <v>AI</v>
      </c>
    </row>
    <row r="26" spans="1:5" x14ac:dyDescent="0.25">
      <c r="A26" t="str">
        <v>1464D</v>
      </c>
      <c r="B26" t="str">
        <v>Next-Gen PMO: Build for Uncertainty</v>
      </c>
      <c r="C26" t="str">
        <v>Jack Duggal</v>
      </c>
      <c r="D26">
        <v>4</v>
      </c>
      <c r="E26" t="str">
        <v>PMO</v>
      </c>
    </row>
    <row r="27" spans="1:5" x14ac:dyDescent="0.25">
      <c r="A27" t="str">
        <v>0192D</v>
      </c>
      <c r="B27" t="str">
        <v>Change Management: Navigate the Future</v>
      </c>
      <c r="C27" t="str">
        <v>Iain Fraser</v>
      </c>
      <c r="D27">
        <v>2</v>
      </c>
      <c r="E27" t="str">
        <v>Leadership</v>
      </c>
    </row>
    <row r="28" spans="1:5" x14ac:dyDescent="0.25">
      <c r="A28" t="str">
        <v>0562D</v>
      </c>
      <c r="B28" t="str">
        <v>Value Management – Designed, Built, and Operationalized for Success</v>
      </c>
      <c r="C28" t="str">
        <v>Iain Fraser</v>
      </c>
      <c r="D28">
        <v>2</v>
      </c>
      <c r="E28" t="str">
        <v>PM Skills</v>
      </c>
    </row>
    <row r="29" spans="1:5" x14ac:dyDescent="0.25">
      <c r="A29" t="str">
        <v>1091D</v>
      </c>
      <c r="B29" t="str">
        <v>Business Analysis Strategies: Enable Project Success</v>
      </c>
      <c r="C29" t="str">
        <v>Greta Blash</v>
      </c>
      <c r="D29">
        <v>1</v>
      </c>
      <c r="E29" t="str">
        <v>PM Skills</v>
      </c>
    </row>
    <row r="30" spans="1:5" x14ac:dyDescent="0.25">
      <c r="A30" t="str">
        <v>1101D</v>
      </c>
      <c r="B30" t="str">
        <v>Hybrid Project Management: The Best of Both Worlds</v>
      </c>
      <c r="C30" t="str">
        <v>Greta Blash</v>
      </c>
      <c r="D30">
        <v>1</v>
      </c>
      <c r="E30" t="str">
        <v>PM Skills</v>
      </c>
    </row>
    <row r="31" spans="1:5" x14ac:dyDescent="0.25">
      <c r="A31" t="str">
        <v>1802D</v>
      </c>
      <c r="B31" t="str">
        <v>Leading with AI for Project Managers</v>
      </c>
      <c r="C31" t="str">
        <v>Klaus Boedker</v>
      </c>
      <c r="D31">
        <v>2</v>
      </c>
      <c r="E31" t="str">
        <v>AI Technical</v>
      </c>
    </row>
    <row r="32" spans="1:5" x14ac:dyDescent="0.25">
      <c r="A32" t="str">
        <v>0032D</v>
      </c>
      <c r="B32" t="str">
        <v>Adapt, Adopt, and Accomplish for Project Management Success</v>
      </c>
      <c r="C32" t="str">
        <v>Lisa Hammer, David Newman</v>
      </c>
      <c r="D32">
        <v>2</v>
      </c>
      <c r="E32" t="str">
        <v>PM Skills</v>
      </c>
    </row>
    <row r="33" spans="1:5" x14ac:dyDescent="0.25">
      <c r="A33" t="str">
        <v>0082D</v>
      </c>
      <c r="B33" t="str">
        <v>Agile Fundamentals: Delivering Value</v>
      </c>
      <c r="C33" t="str">
        <v>Lisa Hammer, David Newman</v>
      </c>
      <c r="D33">
        <v>2</v>
      </c>
      <c r="E33" t="str">
        <v>PM Skills</v>
      </c>
    </row>
    <row r="34" spans="1:5" x14ac:dyDescent="0.25">
      <c r="A34" t="str">
        <v>2022D</v>
      </c>
      <c r="B34" t="str">
        <v xml:space="preserve"> Construction Performance and Materials Management </v>
      </c>
      <c r="C34" t="str">
        <v>Bob Maiale</v>
      </c>
      <c r="D34">
        <v>2</v>
      </c>
      <c r="E34" t="str">
        <v>Construction</v>
      </c>
    </row>
    <row r="35" spans="1:5" x14ac:dyDescent="0.25">
      <c r="A35" t="str">
        <v>0342D</v>
      </c>
      <c r="B35" t="str">
        <v xml:space="preserve">Developing Your EQ to RISE (Reach, Inspire, Serve, and Engage) (Beyond Boss Mode from Control to co-elevation) </v>
      </c>
      <c r="C35" t="str">
        <v>Traci Duez</v>
      </c>
      <c r="D35">
        <v>2</v>
      </c>
      <c r="E35" t="str">
        <v>Communication</v>
      </c>
    </row>
    <row r="36" spans="1:5" x14ac:dyDescent="0.25">
      <c r="A36" t="str">
        <v>0724D</v>
      </c>
      <c r="B36" t="str">
        <v>From PMBOK® to Practice: Building Your PM Competency Foundation</v>
      </c>
      <c r="C36" t="str">
        <v>Brad Malone</v>
      </c>
      <c r="D36">
        <v>4</v>
      </c>
      <c r="E36" t="str">
        <v>RISK</v>
      </c>
    </row>
    <row r="37" spans="1:5" x14ac:dyDescent="0.25">
      <c r="A37" t="str">
        <v>0694D</v>
      </c>
      <c r="B37" t="str">
        <v>Program Management Master Class</v>
      </c>
      <c r="C37" t="str">
        <v>Michel Thiry</v>
      </c>
      <c r="D37">
        <v>4</v>
      </c>
      <c r="E37" t="str">
        <v>PMO</v>
      </c>
    </row>
    <row r="38" spans="1:5" x14ac:dyDescent="0.25">
      <c r="A38" t="str">
        <v xml:space="preserve">Course ID </v>
      </c>
      <c r="B38" t="str">
        <v>April 27-28 (In-Person) DUBAI</v>
      </c>
      <c r="C38" t="str">
        <v>Instructor</v>
      </c>
      <c r="D38" t="str">
        <v># of Days</v>
      </c>
      <c r="E38" t="str">
        <v>TOPIC</v>
      </c>
    </row>
    <row r="39" spans="1:5" x14ac:dyDescent="0.25">
      <c r="A39" t="str">
        <v>2002D</v>
      </c>
      <c r="B39" t="str">
        <v xml:space="preserve">Construction Execution Planning </v>
      </c>
      <c r="C39" t="str">
        <v>Bob Maiale</v>
      </c>
      <c r="D39">
        <v>2</v>
      </c>
      <c r="E39" t="str">
        <v>Construction</v>
      </c>
    </row>
    <row r="40" spans="1:5" x14ac:dyDescent="0.25">
      <c r="A40" t="str">
        <v>2022D</v>
      </c>
      <c r="B40" t="str">
        <v xml:space="preserve"> Construction Performance and Materials Management </v>
      </c>
      <c r="C40" t="str">
        <v>TBD</v>
      </c>
      <c r="D40">
        <v>2</v>
      </c>
      <c r="E40" t="str">
        <v>Construction</v>
      </c>
    </row>
    <row r="41" spans="1:5" x14ac:dyDescent="0.25">
      <c r="A41" t="str">
        <v>2012D</v>
      </c>
      <c r="B41" t="str">
        <v>NEW! Construction Technology and Innovation</v>
      </c>
      <c r="C41" t="str">
        <v>TBD</v>
      </c>
      <c r="D41">
        <v>2</v>
      </c>
      <c r="E41" t="str">
        <v>Construction</v>
      </c>
    </row>
    <row r="42" spans="1:5" x14ac:dyDescent="0.25">
      <c r="A42">
        <v>0</v>
      </c>
      <c r="B42" t="str">
        <v>Can deliver Construction courses- based in Egypt/Saudia Arabia - multilingual</v>
      </c>
      <c r="C42" t="str">
        <v>Mohamed Khalifa Hassan</v>
      </c>
      <c r="D42">
        <v>0</v>
      </c>
      <c r="E42">
        <v>0</v>
      </c>
    </row>
    <row r="43" spans="1:5" x14ac:dyDescent="0.25">
      <c r="A43" t="str">
        <v>1482D</v>
      </c>
      <c r="B43" t="str">
        <v>Artificial Intelligence-Powered Project Excellence: Roadmaps, Success Strategies, and Practical Tools</v>
      </c>
      <c r="C43" t="str">
        <v xml:space="preserve">Oscar Wasalik </v>
      </c>
      <c r="D43">
        <v>2</v>
      </c>
      <c r="E43" t="str">
        <v>Construction</v>
      </c>
    </row>
    <row r="44" spans="1:5" x14ac:dyDescent="0.25">
      <c r="A44" t="str">
        <v xml:space="preserve">Course ID </v>
      </c>
      <c r="B44" t="str">
        <v>April 20-23 (Virtual) 20 rooms EDT</v>
      </c>
      <c r="C44" t="str">
        <v>Instructor</v>
      </c>
      <c r="D44" t="str">
        <v># of Days</v>
      </c>
      <c r="E44" t="str">
        <v>TOPIC</v>
      </c>
    </row>
    <row r="45" spans="1:5" x14ac:dyDescent="0.25">
      <c r="A45" t="str">
        <v>1972D</v>
      </c>
      <c r="B45" t="str">
        <v>The Adaptive PMO: Mastering Agile Transformation</v>
      </c>
      <c r="C45" t="str">
        <v>Christine Aykac</v>
      </c>
      <c r="D45">
        <v>2</v>
      </c>
      <c r="E45" t="str">
        <v>PMO</v>
      </c>
    </row>
    <row r="46" spans="1:5" x14ac:dyDescent="0.25">
      <c r="A46" t="str">
        <v>1344H</v>
      </c>
      <c r="B46" t="str">
        <v>Adaptive Project Management</v>
      </c>
      <c r="C46" t="str">
        <v>Carl Pritchard</v>
      </c>
      <c r="D46" t="str">
        <v>4 hours</v>
      </c>
      <c r="E46" t="str">
        <v>PM Skills</v>
      </c>
    </row>
    <row r="47" spans="1:5" x14ac:dyDescent="0.25">
      <c r="A47" t="str">
        <v>1724D</v>
      </c>
      <c r="B47" t="str">
        <v>Lead with Emotional Intelligence</v>
      </c>
      <c r="C47" t="str">
        <v>Sunny Faronbi</v>
      </c>
      <c r="D47">
        <v>4</v>
      </c>
      <c r="E47" t="str">
        <v>EI</v>
      </c>
    </row>
    <row r="48" spans="1:5" x14ac:dyDescent="0.25">
      <c r="A48" t="str">
        <v>1864H</v>
      </c>
      <c r="B48" t="str">
        <v>Influencing Without Authority Interactive Briefing</v>
      </c>
      <c r="C48" t="str">
        <v>Joseph Reed</v>
      </c>
      <c r="D48" t="str">
        <v>4 hours</v>
      </c>
      <c r="E48" t="str">
        <v>Leadership</v>
      </c>
    </row>
    <row r="49" spans="1:5" x14ac:dyDescent="0.25">
      <c r="A49" t="str">
        <v>0432D</v>
      </c>
      <c r="B49" t="str">
        <v>Influence Without Authority</v>
      </c>
      <c r="C49" t="str">
        <v>Joseph Reed</v>
      </c>
      <c r="D49">
        <v>2</v>
      </c>
      <c r="E49" t="str">
        <v>Leadership</v>
      </c>
    </row>
    <row r="50" spans="1:5" x14ac:dyDescent="0.25">
      <c r="A50" t="str">
        <v>1602D</v>
      </c>
      <c r="B50" t="str">
        <v>Project Management Foundations: Launch Your Success</v>
      </c>
      <c r="C50" t="str">
        <v>Brad Malone</v>
      </c>
      <c r="D50">
        <v>2</v>
      </c>
      <c r="E50" t="str">
        <v>PM Skills</v>
      </c>
    </row>
    <row r="51" spans="1:5" x14ac:dyDescent="0.25">
      <c r="A51" t="str">
        <v>1731D</v>
      </c>
      <c r="B51" t="str">
        <v>Leading Remote Teams</v>
      </c>
      <c r="C51" t="str">
        <v>Carlene Szostak</v>
      </c>
      <c r="D51">
        <v>1</v>
      </c>
      <c r="E51" t="str">
        <v>soft skills</v>
      </c>
    </row>
    <row r="52" spans="1:5" x14ac:dyDescent="0.25">
      <c r="A52" t="str">
        <v>1741D</v>
      </c>
      <c r="B52" t="str">
        <v>AI Ethics for Project Managers</v>
      </c>
      <c r="C52" t="str">
        <v>Carlene Szostak</v>
      </c>
      <c r="D52">
        <v>1</v>
      </c>
      <c r="E52" t="str">
        <v>AI</v>
      </c>
    </row>
    <row r="53" spans="1:5" x14ac:dyDescent="0.25">
      <c r="A53" t="str">
        <v>0582D</v>
      </c>
      <c r="B53" t="str">
        <v>Measure What Matters: Track Benefits Realization</v>
      </c>
      <c r="C53" t="str">
        <v>Scott Burd</v>
      </c>
      <c r="D53">
        <v>2</v>
      </c>
      <c r="E53" t="str">
        <v>PM Skills</v>
      </c>
    </row>
    <row r="54" spans="1:5" x14ac:dyDescent="0.25">
      <c r="A54" t="str">
        <v>1641D</v>
      </c>
      <c r="B54" t="str">
        <v>Courageous Sponsorship</v>
      </c>
      <c r="C54" t="str">
        <v>Annie Sheehan</v>
      </c>
      <c r="D54">
        <v>1</v>
      </c>
      <c r="E54" t="str">
        <v>Leadership</v>
      </c>
    </row>
    <row r="55" spans="1:5" x14ac:dyDescent="0.25">
      <c r="A55" t="str">
        <v>1651D</v>
      </c>
      <c r="B55" t="str">
        <v>Empowering Leaders to Execute Strategically</v>
      </c>
      <c r="C55" t="str">
        <v>Annie Sheehan</v>
      </c>
      <c r="D55">
        <v>1</v>
      </c>
      <c r="E55" t="str">
        <v>Leadership</v>
      </c>
    </row>
    <row r="56" spans="1:5" x14ac:dyDescent="0.25">
      <c r="A56" t="str">
        <v>1132D</v>
      </c>
      <c r="B56" t="str">
        <v>Become a Changemaker: Transform Organizations</v>
      </c>
      <c r="C56" t="str">
        <v>Jack Duggal</v>
      </c>
      <c r="D56">
        <v>2</v>
      </c>
      <c r="E56" t="str">
        <v>soft skills</v>
      </c>
    </row>
    <row r="57" spans="1:5" x14ac:dyDescent="0.25">
      <c r="A57" t="str">
        <v>0872D</v>
      </c>
      <c r="B57" t="str">
        <v>Drive Digital Transformation at Scale</v>
      </c>
      <c r="C57" t="str">
        <v>Drew Clark</v>
      </c>
      <c r="D57">
        <v>2</v>
      </c>
      <c r="E57" t="str">
        <v>Agile</v>
      </c>
    </row>
    <row r="58" spans="1:5" x14ac:dyDescent="0.25">
      <c r="A58" t="str">
        <v>0951D</v>
      </c>
      <c r="B58" t="str">
        <v>Agile Leadership for Digital Transformation</v>
      </c>
      <c r="C58" t="str">
        <v>Drew Clark</v>
      </c>
      <c r="D58">
        <v>1</v>
      </c>
      <c r="E58" t="str">
        <v>Agile</v>
      </c>
    </row>
    <row r="59" spans="1:5" x14ac:dyDescent="0.25">
      <c r="A59" t="str">
        <v>1902D</v>
      </c>
      <c r="B59" t="str">
        <v>Microsoft 365 Copilot: AI for PM Productivity</v>
      </c>
      <c r="C59" t="str">
        <v>Rafsan Huseynov</v>
      </c>
      <c r="D59">
        <v>2</v>
      </c>
      <c r="E59" t="str">
        <v>AI/Technical</v>
      </c>
    </row>
    <row r="60" spans="1:5" x14ac:dyDescent="0.25">
      <c r="A60" t="str">
        <v>1932D</v>
      </c>
      <c r="B60" t="str">
        <v>Rise Through Resilience</v>
      </c>
      <c r="C60" t="str">
        <v>Debra Howell</v>
      </c>
      <c r="D60">
        <v>2</v>
      </c>
      <c r="E60" t="str">
        <v>soft skills</v>
      </c>
    </row>
    <row r="61" spans="1:5" x14ac:dyDescent="0.25">
      <c r="A61" t="str">
        <v>0612D</v>
      </c>
      <c r="B61" t="str">
        <v>Negotiate to Win: Build Partnerships, Secure Resources</v>
      </c>
      <c r="C61" t="str">
        <v>Vijay Verma</v>
      </c>
      <c r="D61">
        <v>2</v>
      </c>
      <c r="E61" t="str">
        <v>Leadership</v>
      </c>
    </row>
    <row r="62" spans="1:5" x14ac:dyDescent="0.25">
      <c r="A62" t="str">
        <v>2063D</v>
      </c>
      <c r="B62" t="str">
        <v>Leading Change that Sticks; Drive Adoption and Results</v>
      </c>
      <c r="C62" t="str">
        <v>April Callis-Birchmeier</v>
      </c>
      <c r="D62">
        <v>3</v>
      </c>
      <c r="E62" t="str">
        <v>Leadership</v>
      </c>
    </row>
    <row r="63" spans="1:5" x14ac:dyDescent="0.25">
      <c r="A63">
        <v>0</v>
      </c>
      <c r="B63" t="str">
        <v>May 11-14 (In-Person) Chicago (CDT)</v>
      </c>
      <c r="C63" t="str">
        <v>Instructor</v>
      </c>
      <c r="D63" t="str">
        <v># of DAYS</v>
      </c>
      <c r="E63">
        <v>0</v>
      </c>
    </row>
    <row r="64" spans="1:5" x14ac:dyDescent="0.25">
      <c r="A64" t="str">
        <v>0032D</v>
      </c>
      <c r="B64" t="str">
        <v>Adapt, Adopt, and Accomplish for Project Management Success</v>
      </c>
      <c r="C64" t="str">
        <v>Lisa Hammer, David Newman</v>
      </c>
      <c r="D64">
        <v>2</v>
      </c>
      <c r="E64" t="str">
        <v>Project Success</v>
      </c>
    </row>
    <row r="65" spans="1:5" x14ac:dyDescent="0.25">
      <c r="A65" t="str">
        <v>0082D</v>
      </c>
      <c r="B65" t="str">
        <v>Agile Fundamentals: Delivering Value</v>
      </c>
      <c r="C65" t="str">
        <v>Lisa Hammer, David Newman</v>
      </c>
      <c r="D65">
        <v>2</v>
      </c>
      <c r="E65" t="str">
        <v>Agile</v>
      </c>
    </row>
    <row r="66" spans="1:5" x14ac:dyDescent="0.25">
      <c r="A66" t="str">
        <v>0541D</v>
      </c>
      <c r="B66" t="str">
        <v>Managing the Human Side of Projects</v>
      </c>
      <c r="C66" t="str">
        <v>Thomas Jarocki</v>
      </c>
      <c r="D66">
        <v>1</v>
      </c>
      <c r="E66" t="str">
        <v>Leadership</v>
      </c>
    </row>
    <row r="67" spans="1:5" x14ac:dyDescent="0.25">
      <c r="A67" t="str">
        <v>0643D</v>
      </c>
      <c r="B67" t="str">
        <v>Orchestrate Total Success: People, Projects, Change</v>
      </c>
      <c r="C67" t="str">
        <v>Thomas Jarocki</v>
      </c>
      <c r="D67">
        <v>3</v>
      </c>
      <c r="E67" t="str">
        <v>Project Success</v>
      </c>
    </row>
    <row r="68" spans="1:5" x14ac:dyDescent="0.25">
      <c r="A68" t="str">
        <v>1022D</v>
      </c>
      <c r="B68" t="str">
        <v>Leadership Brilliance: Unlock Your Confidence and Courage</v>
      </c>
      <c r="C68" t="str">
        <v>Traci Duez</v>
      </c>
      <c r="D68">
        <v>2</v>
      </c>
      <c r="E68" t="str">
        <v>Leadership</v>
      </c>
    </row>
    <row r="69" spans="1:5" x14ac:dyDescent="0.25">
      <c r="A69" t="str">
        <v>0342D</v>
      </c>
      <c r="B69" t="str">
        <v>Developing Your EQ to RISE (Reach, Inspire, Serve, and Engage)</v>
      </c>
      <c r="C69" t="str">
        <v>Traci Duez</v>
      </c>
      <c r="D69">
        <v>2</v>
      </c>
      <c r="E69" t="str">
        <v>Soft Skills</v>
      </c>
    </row>
    <row r="70" spans="1:5" x14ac:dyDescent="0.25">
      <c r="A70" t="str">
        <v>0402D</v>
      </c>
      <c r="B70" t="str">
        <v>How to Capture Customer Requirements and Develop Project Scope</v>
      </c>
      <c r="C70" t="str">
        <v xml:space="preserve"> Jeff Panning</v>
      </c>
      <c r="D70">
        <v>2</v>
      </c>
      <c r="E70" t="str">
        <v>PM Skills</v>
      </c>
    </row>
    <row r="71" spans="1:5" x14ac:dyDescent="0.25">
      <c r="A71" t="str">
        <v>1042D</v>
      </c>
      <c r="B71" t="str">
        <v>PM Tools &amp; Techniques: Facilitate Creative Solutions</v>
      </c>
      <c r="C71" t="str">
        <v xml:space="preserve">Teresa Lawrence </v>
      </c>
      <c r="D71">
        <v>2</v>
      </c>
      <c r="E71" t="str">
        <v>soft skills</v>
      </c>
    </row>
    <row r="72" spans="1:5" x14ac:dyDescent="0.25">
      <c r="A72" t="str">
        <v>0784H</v>
      </c>
      <c r="B72" t="str">
        <v>Solve the Problem, Not the Symptom</v>
      </c>
      <c r="C72" t="str">
        <v xml:space="preserve">Teresa Lawrence </v>
      </c>
      <c r="D72" t="str">
        <v>half</v>
      </c>
      <c r="E72" t="str">
        <v>soft skills</v>
      </c>
    </row>
    <row r="73" spans="1:5" x14ac:dyDescent="0.25">
      <c r="A73" t="str">
        <v>2053D</v>
      </c>
      <c r="B73" t="str">
        <v xml:space="preserve">Analyst’s Guide to Gathering Product and Project Requirements </v>
      </c>
      <c r="C73" t="str">
        <v>Joyce Brown, Thomas McCabe</v>
      </c>
      <c r="D73">
        <v>3</v>
      </c>
      <c r="E73" t="str">
        <v>PM Skills</v>
      </c>
    </row>
    <row r="74" spans="1:5" x14ac:dyDescent="0.25">
      <c r="A74" t="str">
        <v>1821D</v>
      </c>
      <c r="B74" t="str">
        <v>Project Risk Mastery: Anticipate and Respond</v>
      </c>
      <c r="C74" t="str">
        <v>Bob Maiale</v>
      </c>
      <c r="D74">
        <v>1</v>
      </c>
      <c r="E74" t="str">
        <v>RISK</v>
      </c>
    </row>
    <row r="75" spans="1:5" x14ac:dyDescent="0.25">
      <c r="A75" t="str">
        <v>1813D</v>
      </c>
      <c r="B75" t="str">
        <v>Plan and Control: Project Management Foundations</v>
      </c>
      <c r="C75" t="str">
        <v>Bob Maiale</v>
      </c>
      <c r="D75">
        <v>3</v>
      </c>
      <c r="E75" t="str">
        <v>Construction</v>
      </c>
    </row>
    <row r="76" spans="1:5" x14ac:dyDescent="0.25">
      <c r="A76" t="str">
        <v>0742D</v>
      </c>
      <c r="B76" t="str">
        <v>Change Acceleration: Simplify and Succeed</v>
      </c>
      <c r="C76" t="str">
        <v>April Callis-Birchmeier</v>
      </c>
      <c r="D76">
        <v>2</v>
      </c>
      <c r="E76" t="str">
        <v>Business Acumen</v>
      </c>
    </row>
    <row r="77" spans="1:5" x14ac:dyDescent="0.25">
      <c r="A77" t="str">
        <v>2092D</v>
      </c>
      <c r="B77" t="str">
        <v>Mastering Adaptability for Modern Project Success</v>
      </c>
      <c r="C77" t="str">
        <v>Erin Ramirez</v>
      </c>
      <c r="D77">
        <v>2</v>
      </c>
      <c r="E77" t="str">
        <v>Skills</v>
      </c>
    </row>
    <row r="78" spans="1:5" x14ac:dyDescent="0.25">
      <c r="A78" t="str">
        <v>1972D</v>
      </c>
      <c r="B78" t="str">
        <v>Adaptive PMO: Mastering Agile Transformation</v>
      </c>
      <c r="C78" t="str">
        <v>Christine Aykac</v>
      </c>
      <c r="D78">
        <v>2</v>
      </c>
      <c r="E78" t="str">
        <v>PMO</v>
      </c>
    </row>
    <row r="79" spans="1:5" x14ac:dyDescent="0.25">
      <c r="A79" t="str">
        <v>1402D</v>
      </c>
      <c r="B79" t="str">
        <v>Enterprise Risk Management: Master Complex Projects</v>
      </c>
      <c r="C79" t="str">
        <v>Esra Tepeli</v>
      </c>
      <c r="D79">
        <v>2</v>
      </c>
      <c r="E79" t="str">
        <v>RISK</v>
      </c>
    </row>
    <row r="80" spans="1:5" x14ac:dyDescent="0.25">
      <c r="A80" t="str">
        <v xml:space="preserve">Course ID </v>
      </c>
      <c r="B80" t="str">
        <v>June  8-9 (In-Person) SEOUL</v>
      </c>
      <c r="C80" t="str">
        <v>Instructor</v>
      </c>
      <c r="D80" t="str">
        <v># of Days</v>
      </c>
      <c r="E80" t="str">
        <v>TOPIC</v>
      </c>
    </row>
    <row r="81" spans="1:5" x14ac:dyDescent="0.25">
      <c r="A81">
        <v>0</v>
      </c>
      <c r="B81">
        <v>0</v>
      </c>
      <c r="C81" t="str">
        <v>TBD</v>
      </c>
      <c r="D81">
        <v>2</v>
      </c>
      <c r="E81">
        <v>0</v>
      </c>
    </row>
    <row r="82" spans="1:5" x14ac:dyDescent="0.25">
      <c r="A82" t="str">
        <v xml:space="preserve">Course ID </v>
      </c>
      <c r="B82" t="str">
        <v>ORLANDO (IP) 15- 18 JUNE EDT</v>
      </c>
      <c r="C82" t="str">
        <v>Instructor</v>
      </c>
      <c r="D82">
        <v>0</v>
      </c>
      <c r="E82" t="str">
        <v>TOPIC</v>
      </c>
    </row>
    <row r="83" spans="1:5" x14ac:dyDescent="0.25">
      <c r="A83" t="str">
        <v>0694D</v>
      </c>
      <c r="B83" t="str">
        <v>Program Management Master Class</v>
      </c>
      <c r="C83" t="str">
        <v>Michel Thiry</v>
      </c>
      <c r="D83">
        <v>4</v>
      </c>
      <c r="E83" t="str">
        <v xml:space="preserve">PM Skills </v>
      </c>
    </row>
    <row r="84" spans="1:5" x14ac:dyDescent="0.25">
      <c r="A84" t="str">
        <v>0032D</v>
      </c>
      <c r="B84" t="str">
        <v>Adapt, Adopt, and Accomplish for Project Management Success</v>
      </c>
      <c r="C84" t="str">
        <v>Lisa Hammer, David Newman</v>
      </c>
      <c r="D84">
        <v>2</v>
      </c>
      <c r="E84" t="str">
        <v>Leadership</v>
      </c>
    </row>
    <row r="85" spans="1:5" x14ac:dyDescent="0.25">
      <c r="A85" t="str">
        <v>0541D</v>
      </c>
      <c r="B85" t="str">
        <v>Managing the Human Side of Projects</v>
      </c>
      <c r="C85" t="str">
        <v>Thomas Jarocki</v>
      </c>
      <c r="D85">
        <v>1</v>
      </c>
      <c r="E85" t="str">
        <v>Change Mgmt</v>
      </c>
    </row>
    <row r="86" spans="1:5" x14ac:dyDescent="0.25">
      <c r="A86" t="str">
        <v>0643D</v>
      </c>
      <c r="B86" t="str">
        <v>Orchestrate Total Success: People, Projects, Change</v>
      </c>
      <c r="C86" t="str">
        <v>Thomas Jarocki</v>
      </c>
      <c r="D86">
        <v>3</v>
      </c>
      <c r="E86" t="str">
        <v>Project Skills</v>
      </c>
    </row>
    <row r="87" spans="1:5" x14ac:dyDescent="0.25">
      <c r="A87" t="str">
        <v>0482D</v>
      </c>
      <c r="B87" t="str">
        <v>Leading Strategic Initiatives (Program Management)</v>
      </c>
      <c r="C87" t="str">
        <v>Greg Githens</v>
      </c>
      <c r="D87">
        <v>2</v>
      </c>
      <c r="E87" t="str">
        <v>Program Mgmt</v>
      </c>
    </row>
    <row r="88" spans="1:5" x14ac:dyDescent="0.25">
      <c r="A88" t="str">
        <v>0402D</v>
      </c>
      <c r="B88" t="str">
        <v>How to Capture Customer Requirements and Develop Project Scope</v>
      </c>
      <c r="C88" t="str">
        <v xml:space="preserve"> Jeff Panning</v>
      </c>
      <c r="D88">
        <v>2</v>
      </c>
      <c r="E88" t="str">
        <v xml:space="preserve">PM Skills </v>
      </c>
    </row>
    <row r="89" spans="1:5" x14ac:dyDescent="0.25">
      <c r="A89" t="str">
        <v>0024D</v>
      </c>
      <c r="B89" t="str">
        <v>A Non-Bootcamp Review of the PMBOK® Guide for Real-World Practitioners</v>
      </c>
      <c r="C89" t="str">
        <v>Joyce Brown, Thomas McCabe</v>
      </c>
      <c r="D89">
        <v>4</v>
      </c>
      <c r="E89" t="str">
        <v>PMBOK</v>
      </c>
    </row>
    <row r="90" spans="1:5" x14ac:dyDescent="0.25">
      <c r="A90" t="str">
        <v>1482D</v>
      </c>
      <c r="B90" t="str">
        <v>Artificial Intelligence-Powered Project Excellence: Roadmaps, Success Strategies, and Practical Tools</v>
      </c>
      <c r="C90" t="str">
        <v>Oscar Wasalik</v>
      </c>
      <c r="D90">
        <v>2</v>
      </c>
      <c r="E90" t="str">
        <v>AI</v>
      </c>
    </row>
    <row r="91" spans="1:5" x14ac:dyDescent="0.25">
      <c r="A91" t="str">
        <v>1552D</v>
      </c>
      <c r="B91" t="str">
        <v>Artificial Intelligence Applied Skills: Unlocking Project Automation and Efficiency Gains</v>
      </c>
      <c r="C91" t="str">
        <v>Oscar Wasalik</v>
      </c>
      <c r="D91">
        <v>2</v>
      </c>
      <c r="E91" t="str">
        <v>AI</v>
      </c>
    </row>
    <row r="92" spans="1:5" x14ac:dyDescent="0.25">
      <c r="A92" t="str">
        <v>NEW</v>
      </c>
      <c r="B92" t="str">
        <v>AI Change Management</v>
      </c>
      <c r="C92" t="str">
        <v>Ori Schibi</v>
      </c>
      <c r="D92">
        <v>2</v>
      </c>
      <c r="E92" t="str">
        <v>AI</v>
      </c>
    </row>
    <row r="93" spans="1:5" x14ac:dyDescent="0.25">
      <c r="A93" t="str">
        <v>NEW</v>
      </c>
      <c r="B93" t="str">
        <v>Stakeholder Analysis for a Meaningful Engagement </v>
      </c>
      <c r="C93" t="str">
        <v>Ori Schibi</v>
      </c>
      <c r="D93">
        <v>2</v>
      </c>
      <c r="E93" t="str">
        <v xml:space="preserve">PM Skills </v>
      </c>
    </row>
    <row r="94" spans="1:5" x14ac:dyDescent="0.25">
      <c r="A94" t="str">
        <v>1813D</v>
      </c>
      <c r="B94" t="str">
        <v>Plan and Control: Project Management Foundations</v>
      </c>
      <c r="C94" t="str">
        <v>Bob Maiale</v>
      </c>
      <c r="D94">
        <v>3</v>
      </c>
      <c r="E94" t="str">
        <v xml:space="preserve">PM Skills </v>
      </c>
    </row>
    <row r="95" spans="1:5" x14ac:dyDescent="0.25">
      <c r="A95" t="str">
        <v>1042D</v>
      </c>
      <c r="B95" t="str">
        <v>PM Tools &amp; Techniques: Facilitate Creative Solutions</v>
      </c>
      <c r="C95" t="str">
        <v>Teresa Lawrence</v>
      </c>
      <c r="D95">
        <v>2</v>
      </c>
      <c r="E95" t="str">
        <v xml:space="preserve">PM Skills </v>
      </c>
    </row>
    <row r="96" spans="1:5" x14ac:dyDescent="0.25">
      <c r="A96" t="str">
        <v>0552D</v>
      </c>
      <c r="B96" t="str">
        <v>Scope Management Secrets</v>
      </c>
      <c r="C96" t="str">
        <v>Brad Bigelow</v>
      </c>
      <c r="D96">
        <v>2</v>
      </c>
      <c r="E96" t="str">
        <v>PM Skills</v>
      </c>
    </row>
    <row r="97" spans="1:5" x14ac:dyDescent="0.25">
      <c r="A97" t="str">
        <v>1692D</v>
      </c>
      <c r="B97" t="str">
        <v>Project TLC:  Teamwork, Leadership, Communications</v>
      </c>
      <c r="C97" t="str">
        <v>Lisa DiTullio</v>
      </c>
      <c r="D97">
        <v>2</v>
      </c>
      <c r="E97" t="str">
        <v>PM Skills</v>
      </c>
    </row>
    <row r="98" spans="1:5" x14ac:dyDescent="0.25">
      <c r="A98" t="str">
        <v>OPEN</v>
      </c>
      <c r="B98">
        <v>0</v>
      </c>
      <c r="C98">
        <v>0</v>
      </c>
      <c r="D98">
        <v>0</v>
      </c>
      <c r="E98" t="str">
        <v xml:space="preserve">PMO </v>
      </c>
    </row>
    <row r="99" spans="1:5" x14ac:dyDescent="0.25">
      <c r="A99" t="str">
        <v>2084D</v>
      </c>
      <c r="B99" t="str">
        <v>Leadership Discovery of your Value and Reputation</v>
      </c>
      <c r="C99" t="str">
        <v>Traci Duez</v>
      </c>
      <c r="D99">
        <v>4</v>
      </c>
      <c r="E99" t="str">
        <v>Leadership</v>
      </c>
    </row>
    <row r="100" spans="1:5" x14ac:dyDescent="0.25">
      <c r="A100">
        <v>0</v>
      </c>
      <c r="B100" t="str">
        <v>JULY 20-23 Virtual EDT</v>
      </c>
      <c r="C100" t="str">
        <v>Instructor</v>
      </c>
      <c r="D100">
        <v>0</v>
      </c>
      <c r="E100">
        <v>0</v>
      </c>
    </row>
    <row r="101" spans="1:5" x14ac:dyDescent="0.25">
      <c r="A101" t="str">
        <v>1074H</v>
      </c>
      <c r="B101" t="str">
        <v xml:space="preserve">  Communication GPS: Keep Your Project on Track</v>
      </c>
      <c r="C101" t="str">
        <v>Kathy Mendias</v>
      </c>
      <c r="D101" t="str">
        <v>half day</v>
      </c>
      <c r="E101" t="str">
        <v xml:space="preserve">PM Skills </v>
      </c>
    </row>
    <row r="102" spans="1:5" x14ac:dyDescent="0.25">
      <c r="A102" t="str">
        <v>0582D</v>
      </c>
      <c r="B102" t="str">
        <v>Measure What Matters: Track Benefits Realization</v>
      </c>
      <c r="C102" t="str">
        <v>Scott Burd</v>
      </c>
      <c r="D102">
        <v>2</v>
      </c>
      <c r="E102" t="str">
        <v xml:space="preserve">PM Skills </v>
      </c>
    </row>
    <row r="103" spans="1:5" x14ac:dyDescent="0.25">
      <c r="A103" t="str">
        <v>1251D</v>
      </c>
      <c r="B103" t="str">
        <v>Psychological Safety at Work</v>
      </c>
      <c r="C103" t="str">
        <v>Subash Racoojmar</v>
      </c>
      <c r="D103">
        <v>1</v>
      </c>
      <c r="E103" t="str">
        <v>Softskills</v>
      </c>
    </row>
    <row r="104" spans="1:5" x14ac:dyDescent="0.25">
      <c r="A104" t="str">
        <v>0102D</v>
      </c>
      <c r="B104" t="str">
        <v>Aligning the Organization Through Portfolio Management</v>
      </c>
      <c r="C104" t="str">
        <v>Mohamed Khalifa</v>
      </c>
      <c r="D104">
        <v>2</v>
      </c>
      <c r="E104" t="str">
        <v>PMO</v>
      </c>
    </row>
    <row r="105" spans="1:5" x14ac:dyDescent="0.25">
      <c r="A105" t="str">
        <v>0742D</v>
      </c>
      <c r="B105" t="str">
        <v>Change Acceleration: Simplify and Succeed</v>
      </c>
      <c r="C105" t="str">
        <v>April Callis-Birchmeier</v>
      </c>
      <c r="D105">
        <v>2</v>
      </c>
      <c r="E105" t="str">
        <v>softskills</v>
      </c>
    </row>
    <row r="106" spans="1:5" x14ac:dyDescent="0.25">
      <c r="A106" t="str">
        <v>0482D</v>
      </c>
      <c r="B106" t="str">
        <v>Leading Strategic Initiatives (Program Management)</v>
      </c>
      <c r="C106" t="str">
        <v xml:space="preserve">Greg Githens </v>
      </c>
      <c r="D106">
        <v>2</v>
      </c>
      <c r="E106" t="str">
        <v>Program Mgmt</v>
      </c>
    </row>
    <row r="107" spans="1:5" x14ac:dyDescent="0.25">
      <c r="A107" t="str">
        <v>1211D</v>
      </c>
      <c r="B107" t="str">
        <v>Master the Principles: Accelerate Project Success</v>
      </c>
      <c r="C107" t="str">
        <v>Klaus Nielsen</v>
      </c>
      <c r="D107">
        <v>1</v>
      </c>
      <c r="E107" t="str">
        <v>PM Skills</v>
      </c>
    </row>
    <row r="108" spans="1:5" x14ac:dyDescent="0.25">
      <c r="A108" t="str">
        <v>1414H</v>
      </c>
      <c r="B108" t="str">
        <v>Cognitive Diversity: Leverage Your Thinking Style</v>
      </c>
      <c r="C108" t="str">
        <v>Teresa Lawrence</v>
      </c>
      <c r="D108" t="str">
        <v>half day</v>
      </c>
      <c r="E108" t="str">
        <v>softskills</v>
      </c>
    </row>
    <row r="109" spans="1:5" x14ac:dyDescent="0.25">
      <c r="A109" t="str">
        <v>1042D</v>
      </c>
      <c r="B109" t="str">
        <v>PM Tools &amp; Techniques: Facilitate Creative Solutions</v>
      </c>
      <c r="C109" t="str">
        <v>Teresa Lawrence</v>
      </c>
      <c r="D109">
        <v>2</v>
      </c>
      <c r="E109" t="str">
        <v>PM Skills</v>
      </c>
    </row>
    <row r="110" spans="1:5" x14ac:dyDescent="0.25">
      <c r="A110" t="str">
        <v>0372D</v>
      </c>
      <c r="B110" t="str">
        <v>Hybrid Agility: Blend Traditional and Adaptive Methods</v>
      </c>
      <c r="C110" t="str">
        <v>NK Shrivastava</v>
      </c>
      <c r="D110">
        <v>2</v>
      </c>
      <c r="E110" t="str">
        <v>AGILE</v>
      </c>
    </row>
    <row r="111" spans="1:5" x14ac:dyDescent="0.25">
      <c r="A111">
        <v>0</v>
      </c>
      <c r="B111">
        <v>0</v>
      </c>
      <c r="C111">
        <v>0</v>
      </c>
      <c r="D111">
        <v>2</v>
      </c>
      <c r="E111">
        <v>0</v>
      </c>
    </row>
    <row r="112" spans="1:5" x14ac:dyDescent="0.25">
      <c r="A112" t="str">
        <v xml:space="preserve">Course ID </v>
      </c>
      <c r="B112" t="str">
        <v>July 28 - 29 (In-Person) Washington DC Agile Alliance</v>
      </c>
      <c r="C112" t="str">
        <v>Instructor</v>
      </c>
      <c r="D112" t="str">
        <v># of Days</v>
      </c>
      <c r="E112" t="str">
        <v>TOPIC</v>
      </c>
    </row>
    <row r="113" spans="1:5" x14ac:dyDescent="0.25">
      <c r="A113" t="str">
        <v>1882D</v>
      </c>
      <c r="B113" t="str">
        <v>Disciplined Agile Foundations: Approaches for Team Agility</v>
      </c>
      <c r="C113" t="str">
        <v>Joshua Barnes</v>
      </c>
      <c r="D113">
        <v>2</v>
      </c>
      <c r="E113" t="str">
        <v>AGILE</v>
      </c>
    </row>
    <row r="114" spans="1:5" x14ac:dyDescent="0.25">
      <c r="A114" t="str">
        <v>TBD</v>
      </c>
      <c r="B114" t="str">
        <v>ACP Skills</v>
      </c>
      <c r="C114" t="str">
        <v>Mike Griffiths</v>
      </c>
      <c r="D114">
        <v>1</v>
      </c>
      <c r="E114" t="str">
        <v>AGILE</v>
      </c>
    </row>
    <row r="115" spans="1:5" x14ac:dyDescent="0.25">
      <c r="A115" t="str">
        <v>TBD</v>
      </c>
      <c r="B115" t="str">
        <v>PMP Skills</v>
      </c>
      <c r="C115" t="str">
        <v>Mike Griffiths</v>
      </c>
      <c r="D115">
        <v>1</v>
      </c>
      <c r="E115" t="str">
        <v>PM Skills</v>
      </c>
    </row>
    <row r="116" spans="1:5" x14ac:dyDescent="0.25">
      <c r="A116" t="str">
        <v>2072D</v>
      </c>
      <c r="B116" t="str">
        <v>Developing High Performing Agile Teams</v>
      </c>
      <c r="C116" t="str">
        <v>Scott Dunn</v>
      </c>
      <c r="D116">
        <v>2</v>
      </c>
      <c r="E116" t="str">
        <v>AGILE</v>
      </c>
    </row>
    <row r="117" spans="1:5" x14ac:dyDescent="0.25">
      <c r="A117">
        <v>0</v>
      </c>
      <c r="B117" t="str">
        <v>August 3-6 (In-Person) San Diego PDT</v>
      </c>
      <c r="C117" t="str">
        <v>Instructor</v>
      </c>
      <c r="D117">
        <v>0</v>
      </c>
      <c r="E117">
        <v>0</v>
      </c>
    </row>
    <row r="118" spans="1:5" x14ac:dyDescent="0.25">
      <c r="A118" t="str">
        <v>0192D</v>
      </c>
      <c r="B118" t="str">
        <v>Change Management: Navigate the Future</v>
      </c>
      <c r="C118" t="str">
        <v>Iain Fraser</v>
      </c>
      <c r="D118">
        <v>2</v>
      </c>
      <c r="E118" t="str">
        <v>Change Mgmt</v>
      </c>
    </row>
    <row r="119" spans="1:5" x14ac:dyDescent="0.25">
      <c r="A119" t="str">
        <v>1101D</v>
      </c>
      <c r="B119" t="str">
        <v>Hybrid Project Management: The Best of Both Worlds</v>
      </c>
      <c r="C119" t="str">
        <v>Greta Blash</v>
      </c>
      <c r="D119">
        <v>2</v>
      </c>
      <c r="E119" t="str">
        <v>PM Skills</v>
      </c>
    </row>
    <row r="120" spans="1:5" x14ac:dyDescent="0.25">
      <c r="A120" t="str">
        <v>1831D</v>
      </c>
      <c r="B120" t="str">
        <v>Lead Anywhere: Master Matrix and Remote Teams</v>
      </c>
      <c r="C120" t="str">
        <v>Bob Maiale</v>
      </c>
      <c r="D120">
        <v>1</v>
      </c>
      <c r="E120">
        <v>0</v>
      </c>
    </row>
    <row r="121" spans="1:5" x14ac:dyDescent="0.25">
      <c r="A121" t="str">
        <v>1821D</v>
      </c>
      <c r="B121" t="str">
        <v>Project Risk Mastery: Anticipate and Respond</v>
      </c>
      <c r="C121" t="str">
        <v>Bob Maiale</v>
      </c>
      <c r="D121">
        <v>1</v>
      </c>
      <c r="E121">
        <v>0</v>
      </c>
    </row>
    <row r="122" spans="1:5" x14ac:dyDescent="0.25">
      <c r="A122" t="str">
        <v>2002D</v>
      </c>
      <c r="B122" t="str">
        <v xml:space="preserve">Construction Execution Planning </v>
      </c>
      <c r="C122" t="str">
        <v>Bob Maiale</v>
      </c>
      <c r="D122">
        <v>2</v>
      </c>
      <c r="E122">
        <v>0</v>
      </c>
    </row>
    <row r="123" spans="1:5" x14ac:dyDescent="0.25">
      <c r="A123" t="str">
        <v>1752D</v>
      </c>
      <c r="B123" t="str">
        <v>Master Business Acumen Part 1: Become Business-Savvy</v>
      </c>
      <c r="C123" t="str">
        <v>Frank Saladis</v>
      </c>
      <c r="D123">
        <v>2</v>
      </c>
      <c r="E123" t="str">
        <v>BA</v>
      </c>
    </row>
    <row r="124" spans="1:5" x14ac:dyDescent="0.25">
      <c r="A124" t="str">
        <v>1762D</v>
      </c>
      <c r="B124" t="str">
        <v>Master Business Acumen Part 2: Drive Business Value</v>
      </c>
      <c r="C124" t="str">
        <v>Frank Saladis</v>
      </c>
      <c r="D124">
        <v>2</v>
      </c>
      <c r="E124" t="str">
        <v>BA</v>
      </c>
    </row>
    <row r="125" spans="1:5" x14ac:dyDescent="0.25">
      <c r="A125" t="str">
        <v xml:space="preserve">Course ID </v>
      </c>
      <c r="B125" t="str">
        <v>September (In-Person) CAPE TOWN</v>
      </c>
      <c r="C125" t="str">
        <v>Instructor</v>
      </c>
      <c r="D125" t="str">
        <v># of Days</v>
      </c>
      <c r="E125" t="str">
        <v>TOPIC</v>
      </c>
    </row>
    <row r="126" spans="1:5" x14ac:dyDescent="0.25">
      <c r="A126">
        <v>0</v>
      </c>
      <c r="B126" t="str">
        <v>TBD</v>
      </c>
      <c r="C126" t="str">
        <v>TBD</v>
      </c>
      <c r="D126">
        <v>2</v>
      </c>
      <c r="E126">
        <v>0</v>
      </c>
    </row>
    <row r="127" spans="1:5" x14ac:dyDescent="0.25">
      <c r="A127">
        <v>0</v>
      </c>
      <c r="B127" t="str">
        <v>September 14-17  Denver MDT IN-PERSON - AGILE PMO TOPIC FOCUS</v>
      </c>
      <c r="C127" t="str">
        <v>Instructor</v>
      </c>
      <c r="D127">
        <v>0</v>
      </c>
      <c r="E127">
        <v>0</v>
      </c>
    </row>
    <row r="128" spans="1:5" x14ac:dyDescent="0.25">
      <c r="A128" t="str">
        <v>0904D</v>
      </c>
      <c r="B128" t="str">
        <v>Evolve Your PMO</v>
      </c>
      <c r="C128" t="str">
        <v>Eric Foss</v>
      </c>
      <c r="D128">
        <v>4</v>
      </c>
      <c r="E128" t="str">
        <v>PMO</v>
      </c>
    </row>
    <row r="129" spans="1:5" x14ac:dyDescent="0.25">
      <c r="A129" t="str">
        <v>1724D</v>
      </c>
      <c r="B129" t="str">
        <v>Lead with Emotional Intelligence</v>
      </c>
      <c r="C129" t="str">
        <v>Sunny Faronbi</v>
      </c>
      <c r="D129">
        <v>4</v>
      </c>
      <c r="E129" t="str">
        <v>PMO/EI</v>
      </c>
    </row>
    <row r="130" spans="1:5" x14ac:dyDescent="0.25">
      <c r="A130" t="str">
        <v>1774D</v>
      </c>
      <c r="B130" t="str">
        <v>The VMO Master Class</v>
      </c>
      <c r="C130" t="str">
        <v>Michel Thiry, Guillaume Lapierre</v>
      </c>
      <c r="D130">
        <v>4</v>
      </c>
      <c r="E130" t="str">
        <v>PMO</v>
      </c>
    </row>
    <row r="131" spans="1:5" x14ac:dyDescent="0.25">
      <c r="A131" t="str">
        <v>1243D</v>
      </c>
      <c r="B131" t="str">
        <v>Change Management for Project Success</v>
      </c>
      <c r="C131" t="str">
        <v>Robert Bogue</v>
      </c>
      <c r="D131">
        <v>3</v>
      </c>
      <c r="E131" t="str">
        <v>Agile</v>
      </c>
    </row>
    <row r="132" spans="1:5" x14ac:dyDescent="0.25">
      <c r="A132" t="str">
        <v>0032D</v>
      </c>
      <c r="B132" t="str">
        <v xml:space="preserve">Adapt, Adopt, and Accomplish for Project Management Success  </v>
      </c>
      <c r="C132" t="str">
        <v>Lisa Hammer, David Newman</v>
      </c>
      <c r="D132">
        <v>2</v>
      </c>
      <c r="E132" t="str">
        <v>PM Skills</v>
      </c>
    </row>
    <row r="133" spans="1:5" x14ac:dyDescent="0.25">
      <c r="A133" t="str">
        <v>1991D</v>
      </c>
      <c r="B133" t="str">
        <v>AI Applications: Future-Proofing your PMO</v>
      </c>
      <c r="C133" t="str">
        <v>Oscar Wasilik</v>
      </c>
      <c r="D133">
        <v>1</v>
      </c>
      <c r="E133" t="str">
        <v>PMO</v>
      </c>
    </row>
    <row r="134" spans="1:5" x14ac:dyDescent="0.25">
      <c r="A134" t="str">
        <v>1203D</v>
      </c>
      <c r="B134" t="str">
        <v>Governance That Works: Psychology, Strategy and Tools</v>
      </c>
      <c r="C134" t="str">
        <v>Oscar Wasilik</v>
      </c>
      <c r="D134">
        <v>3</v>
      </c>
      <c r="E134" t="str">
        <v>GOV</v>
      </c>
    </row>
    <row r="135" spans="1:5" x14ac:dyDescent="0.25">
      <c r="A135" t="str">
        <v>TBD</v>
      </c>
      <c r="B135">
        <v>0</v>
      </c>
      <c r="C135" t="str">
        <v>Scott Dunn</v>
      </c>
      <c r="D135">
        <v>2</v>
      </c>
      <c r="E135" t="str">
        <v>Agile</v>
      </c>
    </row>
    <row r="136" spans="1:5" x14ac:dyDescent="0.25">
      <c r="A136" t="str">
        <v>0372D</v>
      </c>
      <c r="B136" t="str">
        <v>Hybrid Agility: Blend Traditional and Adaptive Methods</v>
      </c>
      <c r="C136" t="str">
        <v>NK Shrivastava</v>
      </c>
      <c r="D136">
        <v>2</v>
      </c>
      <c r="E136">
        <v>0</v>
      </c>
    </row>
    <row r="137" spans="1:5" x14ac:dyDescent="0.25">
      <c r="A137">
        <v>0</v>
      </c>
      <c r="B137" t="str">
        <v>October 26-29 (In-Person) Washington DC (AI /TECHNICAL) EDT</v>
      </c>
      <c r="C137" t="str">
        <v>Instructor</v>
      </c>
      <c r="D137">
        <v>0</v>
      </c>
      <c r="E137">
        <v>0</v>
      </c>
    </row>
    <row r="138" spans="1:5" x14ac:dyDescent="0.25">
      <c r="A138" t="str">
        <v>0694D</v>
      </c>
      <c r="B138" t="str">
        <v>Program Management Master Class</v>
      </c>
      <c r="C138" t="str">
        <v>Michel Thiry or Greg Martinez</v>
      </c>
      <c r="D138">
        <v>4</v>
      </c>
      <c r="E138" t="str">
        <v>PM Skills</v>
      </c>
    </row>
    <row r="139" spans="1:5" x14ac:dyDescent="0.25">
      <c r="A139" t="str">
        <v>1482D</v>
      </c>
      <c r="B139" t="str">
        <v>Artificial Intelligence-Powered Project Excellence: Roadmaps, Success Strategies, and Practical Tools</v>
      </c>
      <c r="C139" t="str">
        <v>Oscar Wasilik</v>
      </c>
      <c r="D139">
        <v>2</v>
      </c>
      <c r="E139" t="str">
        <v>AI Technical</v>
      </c>
    </row>
    <row r="140" spans="1:5" x14ac:dyDescent="0.25">
      <c r="A140" t="str">
        <v>1552D</v>
      </c>
      <c r="B140" t="str">
        <v>Artificial Intelligence Applied Skills: Unlocking Project Automation and Efficiency Gains</v>
      </c>
      <c r="C140" t="str">
        <v>Oscar Wasilik</v>
      </c>
      <c r="D140">
        <v>2</v>
      </c>
      <c r="E140" t="str">
        <v>AI Technical</v>
      </c>
    </row>
    <row r="141" spans="1:5" x14ac:dyDescent="0.25">
      <c r="A141" t="str">
        <v>1421D</v>
      </c>
      <c r="B141" t="str">
        <v>AI for Strategic Decisions: Leveraging Analysis</v>
      </c>
      <c r="C141" t="str">
        <v>Esra Tepeli</v>
      </c>
      <c r="D141">
        <v>1</v>
      </c>
      <c r="E141" t="str">
        <v>AI</v>
      </c>
    </row>
    <row r="142" spans="1:5" x14ac:dyDescent="0.25">
      <c r="A142" t="str">
        <v>1902D</v>
      </c>
      <c r="B142" t="str">
        <v>Microsoft 365 Copilot: AI for PM Productivity</v>
      </c>
      <c r="C142" t="str">
        <v>rafsan huseynov</v>
      </c>
      <c r="D142">
        <v>2</v>
      </c>
      <c r="E142" t="str">
        <v>TECHNICAL</v>
      </c>
    </row>
    <row r="143" spans="1:5" x14ac:dyDescent="0.25">
      <c r="A143" t="str">
        <v>TBD</v>
      </c>
      <c r="B143">
        <v>0</v>
      </c>
      <c r="C143">
        <v>0</v>
      </c>
      <c r="D143">
        <v>2</v>
      </c>
      <c r="E143" t="str">
        <v>PMO</v>
      </c>
    </row>
    <row r="144" spans="1:5" x14ac:dyDescent="0.25">
      <c r="A144" t="str">
        <v>TBD</v>
      </c>
      <c r="B144" t="str">
        <v>OPEN</v>
      </c>
      <c r="C144">
        <v>0</v>
      </c>
      <c r="D144">
        <v>2</v>
      </c>
      <c r="E144" t="str">
        <v>Security</v>
      </c>
    </row>
    <row r="145" spans="1:5" x14ac:dyDescent="0.25">
      <c r="A145" t="str">
        <v>New 2D</v>
      </c>
      <c r="B145" t="str">
        <v>Human Pattern Design Thinking</v>
      </c>
      <c r="C145" t="str">
        <v>Tyson Rydl</v>
      </c>
      <c r="D145">
        <v>2</v>
      </c>
      <c r="E145" t="str">
        <v>Technical</v>
      </c>
    </row>
    <row r="146" spans="1:5" x14ac:dyDescent="0.25">
      <c r="A146" t="str">
        <v>1681D</v>
      </c>
      <c r="B146" t="str">
        <v>Embracing AI in your Projects</v>
      </c>
      <c r="C146" t="str">
        <v>Peter Ivanov</v>
      </c>
      <c r="D146">
        <v>1</v>
      </c>
      <c r="E146" t="str">
        <v>AI</v>
      </c>
    </row>
    <row r="147" spans="1:5" x14ac:dyDescent="0.25">
      <c r="A147" t="str">
        <v>1912D</v>
      </c>
      <c r="B147" t="str">
        <v xml:space="preserve">AI for People-First Project Management </v>
      </c>
      <c r="C147" t="str">
        <v>Hammer and Newman</v>
      </c>
      <c r="D147">
        <v>2</v>
      </c>
      <c r="E147" t="str">
        <v>NEW</v>
      </c>
    </row>
    <row r="148" spans="1:5" x14ac:dyDescent="0.25">
      <c r="A148" t="str">
        <v>0282D</v>
      </c>
      <c r="B148" t="str">
        <v>Creative Problem-Solving: Think Beyond the Linear</v>
      </c>
      <c r="C148" t="str">
        <v>Hammer and Newman</v>
      </c>
      <c r="D148">
        <v>2</v>
      </c>
      <c r="E148" t="str">
        <v>Softskils</v>
      </c>
    </row>
    <row r="149" spans="1:5" x14ac:dyDescent="0.25">
      <c r="A149" t="str">
        <v>0402D</v>
      </c>
      <c r="B149" t="str">
        <v>How to Capture Customer Requirements and Develop Project Scope</v>
      </c>
      <c r="C149" t="str">
        <v>Jeff Panning</v>
      </c>
      <c r="D149">
        <v>2</v>
      </c>
      <c r="E149" t="str">
        <v>Power Skills</v>
      </c>
    </row>
    <row r="150" spans="1:5" x14ac:dyDescent="0.25">
      <c r="A150" t="str">
        <v>0422D</v>
      </c>
      <c r="B150" t="str">
        <v>How to Think Strategically and Apply Business Acumen</v>
      </c>
      <c r="C150" t="str">
        <v>Kandis Porter</v>
      </c>
      <c r="D150">
        <v>2</v>
      </c>
      <c r="E150" t="str">
        <v>Power Skills</v>
      </c>
    </row>
    <row r="151" spans="1:5" x14ac:dyDescent="0.25">
      <c r="A151">
        <v>0</v>
      </c>
      <c r="B151" t="str">
        <v>October 19-20 PRE Global Summit - EDT (TBD) Detroit</v>
      </c>
      <c r="C151" t="str">
        <v>Instructor</v>
      </c>
      <c r="D151">
        <v>0</v>
      </c>
      <c r="E151">
        <v>0</v>
      </c>
    </row>
    <row r="152" spans="1:5" x14ac:dyDescent="0.25">
      <c r="A152" t="str">
        <v>2012D</v>
      </c>
      <c r="B152" t="str">
        <v>NEW! Construction Technology and Innovation</v>
      </c>
      <c r="C152" t="str">
        <v>Bob Maiale</v>
      </c>
      <c r="D152">
        <v>2</v>
      </c>
      <c r="E152" t="str">
        <v>Construction</v>
      </c>
    </row>
    <row r="153" spans="1:5" x14ac:dyDescent="0.25">
      <c r="A153" t="str">
        <v>1962D</v>
      </c>
      <c r="B153" t="str">
        <v>Implement a Strategic PMO: Drive Business Value</v>
      </c>
      <c r="C153" t="str">
        <v>Tony Prensa</v>
      </c>
      <c r="D153">
        <v>2</v>
      </c>
      <c r="E153" t="str">
        <v>PMO</v>
      </c>
    </row>
    <row r="154" spans="1:5" x14ac:dyDescent="0.25">
      <c r="A154" t="str">
        <v>0132D</v>
      </c>
      <c r="B154" t="str">
        <v>Build High-Performing Teams: Communicate, Motivate, Excel</v>
      </c>
      <c r="C154" t="str">
        <v>Kristy Tan Neckowicz</v>
      </c>
      <c r="D154">
        <v>2</v>
      </c>
      <c r="E154" t="str">
        <v>PM SKills</v>
      </c>
    </row>
    <row r="155" spans="1:5" x14ac:dyDescent="0.25">
      <c r="A155" t="str">
        <v>1991D</v>
      </c>
      <c r="B155" t="str">
        <v>AI Applications: Future-Proofing your PMO</v>
      </c>
      <c r="C155" t="str">
        <v>Oscar Wasilik</v>
      </c>
      <c r="D155">
        <v>1</v>
      </c>
      <c r="E155" t="str">
        <v>AI/PMO</v>
      </c>
    </row>
    <row r="156" spans="1:5" x14ac:dyDescent="0.25">
      <c r="A156" t="str">
        <v>1542D</v>
      </c>
      <c r="B156" t="str">
        <v>Power Skills: Lead, Influence, and Navigate</v>
      </c>
      <c r="C156" t="str">
        <v>Jack Duggal</v>
      </c>
      <c r="D156">
        <v>2</v>
      </c>
      <c r="E156" t="str">
        <v>Power Skills</v>
      </c>
    </row>
    <row r="157" spans="1:5" x14ac:dyDescent="0.25">
      <c r="A157">
        <v>0</v>
      </c>
      <c r="B157" t="str">
        <v>November 16-19 (VIRTUAL) PDT</v>
      </c>
      <c r="C157" t="str">
        <v>Instructor</v>
      </c>
      <c r="D157">
        <v>0</v>
      </c>
      <c r="E157">
        <v>0</v>
      </c>
    </row>
    <row r="158" spans="1:5" x14ac:dyDescent="0.25">
      <c r="A158" t="str">
        <v>1492D</v>
      </c>
      <c r="B158" t="str">
        <v>Mastering Project Management Principles</v>
      </c>
      <c r="C158" t="str">
        <v>Klaus Nielsen</v>
      </c>
      <c r="D158">
        <v>2</v>
      </c>
      <c r="E158" t="str">
        <v>PMO</v>
      </c>
    </row>
    <row r="159" spans="1:5" x14ac:dyDescent="0.25">
      <c r="A159" t="str">
        <v>0182D</v>
      </c>
      <c r="B159" t="str">
        <v>Business Case—Best Practices for Success</v>
      </c>
      <c r="C159" t="str">
        <v>Klaus Nielsen</v>
      </c>
      <c r="D159">
        <v>2</v>
      </c>
      <c r="E159" t="str">
        <v>Project Success</v>
      </c>
    </row>
    <row r="160" spans="1:5" x14ac:dyDescent="0.25">
      <c r="A160" t="str">
        <v>1782D</v>
      </c>
      <c r="B160" t="str">
        <v>Project TLC Cohort (need to resolve 5 week schedule)</v>
      </c>
      <c r="C160" t="str">
        <v>Lisa DiTullio</v>
      </c>
      <c r="D160">
        <v>2</v>
      </c>
      <c r="E160" t="str">
        <v>Coaching</v>
      </c>
    </row>
    <row r="161" spans="1:5" x14ac:dyDescent="0.25">
      <c r="A161" t="str">
        <v>1394H</v>
      </c>
      <c r="B161" t="str">
        <v>Thrive in the AI Era: Future-Ready PM Skills</v>
      </c>
      <c r="C161" t="str">
        <v>Carlene Szostak</v>
      </c>
      <c r="D161" t="str">
        <v>half day</v>
      </c>
      <c r="E161" t="str">
        <v>AI</v>
      </c>
    </row>
    <row r="162" spans="1:5" x14ac:dyDescent="0.25">
      <c r="A162" t="str">
        <v>1712D</v>
      </c>
      <c r="B162" t="str">
        <v>Risk Management Essentials</v>
      </c>
      <c r="C162" t="str">
        <v>Carl Pritchard</v>
      </c>
      <c r="D162">
        <v>2</v>
      </c>
      <c r="E162" t="str">
        <v>RISK</v>
      </c>
    </row>
    <row r="163" spans="1:5" x14ac:dyDescent="0.25">
      <c r="A163" t="str">
        <v>1524H</v>
      </c>
      <c r="B163" t="str">
        <v>The Engaged, Empowered, and Happy Stakeholder </v>
      </c>
      <c r="C163" t="str">
        <v>Carl Pritchard</v>
      </c>
      <c r="D163" t="str">
        <v>half day</v>
      </c>
      <c r="E163" t="str">
        <v>PM Skills</v>
      </c>
    </row>
    <row r="164" spans="1:5" x14ac:dyDescent="0.25">
      <c r="A164" t="str">
        <v>0482D</v>
      </c>
      <c r="B164" t="str">
        <v>Leading Strategic Initiatives (Program Management)</v>
      </c>
      <c r="C164" t="str">
        <v xml:space="preserve">Greg Githens </v>
      </c>
      <c r="D164">
        <v>2</v>
      </c>
      <c r="E164" t="str">
        <v>PMO</v>
      </c>
    </row>
    <row r="165" spans="1:5" x14ac:dyDescent="0.25">
      <c r="A165" t="str">
        <v>1864H</v>
      </c>
      <c r="B165" t="str">
        <v xml:space="preserve"> Influencing Without Authority Interactive Briefing</v>
      </c>
      <c r="C165" t="str">
        <v>Joseph Reed</v>
      </c>
      <c r="D165" t="str">
        <v xml:space="preserve"> 4 hours</v>
      </c>
      <c r="E165" t="str">
        <v>Leadership</v>
      </c>
    </row>
    <row r="166" spans="1:5" x14ac:dyDescent="0.25">
      <c r="A166" t="str">
        <v>0432D</v>
      </c>
      <c r="B166" t="str">
        <v>Influencing Without Authority</v>
      </c>
      <c r="C166" t="str">
        <v>Joseph Reed</v>
      </c>
      <c r="D166">
        <v>2</v>
      </c>
      <c r="E166" t="str">
        <v>Leadership</v>
      </c>
    </row>
    <row r="167" spans="1:5" x14ac:dyDescent="0.25">
      <c r="A167" t="str">
        <v>0342D</v>
      </c>
      <c r="B167" t="str">
        <v>Developing Your EQ to RISE (Reach, Inspire, Serve, and Engage)</v>
      </c>
      <c r="C167" t="str">
        <v>Traci Duez</v>
      </c>
      <c r="D167">
        <v>2</v>
      </c>
      <c r="E167" t="str">
        <v>Softskills</v>
      </c>
    </row>
    <row r="168" spans="1:5" x14ac:dyDescent="0.25">
      <c r="A168" t="str">
        <v>0282D</v>
      </c>
      <c r="B168" t="str">
        <v>Creative Problem-Solving: Think Beyond the Linear</v>
      </c>
      <c r="C168" t="str">
        <v>Lisa Hammer, David Newman</v>
      </c>
      <c r="D168">
        <v>2</v>
      </c>
      <c r="E168" t="str">
        <v>PM SKills</v>
      </c>
    </row>
    <row r="169" spans="1:5" x14ac:dyDescent="0.25">
      <c r="A169" t="str">
        <v>1702D</v>
      </c>
      <c r="B169" t="str">
        <v>AI Agents for Project Excellence</v>
      </c>
      <c r="C169" t="str">
        <v>Peter Ivanov</v>
      </c>
      <c r="D169">
        <v>2</v>
      </c>
      <c r="E169" t="str">
        <v>AI Technical</v>
      </c>
    </row>
    <row r="170" spans="1:5" x14ac:dyDescent="0.25">
      <c r="A170" t="str">
        <v>OPEN</v>
      </c>
      <c r="B170">
        <v>0</v>
      </c>
      <c r="C170">
        <v>0</v>
      </c>
      <c r="D170">
        <v>0</v>
      </c>
      <c r="E170" t="str">
        <v>AI Technical</v>
      </c>
    </row>
    <row r="171" spans="1:5" x14ac:dyDescent="0.25">
      <c r="A171" t="str">
        <v>OPEN/NEW</v>
      </c>
      <c r="B171">
        <v>0</v>
      </c>
      <c r="C171">
        <v>0</v>
      </c>
      <c r="D171">
        <v>0</v>
      </c>
      <c r="E171">
        <v>0</v>
      </c>
    </row>
    <row r="172" spans="1:5" x14ac:dyDescent="0.25">
      <c r="A172">
        <v>0</v>
      </c>
      <c r="B172" t="str">
        <v>December 7-10 (In Person) Las Vegas PDT</v>
      </c>
      <c r="C172" t="str">
        <v>Instructor</v>
      </c>
      <c r="D172">
        <v>0</v>
      </c>
      <c r="E172">
        <v>0</v>
      </c>
    </row>
    <row r="173" spans="1:5" x14ac:dyDescent="0.25">
      <c r="A173" t="str">
        <v>1464D</v>
      </c>
      <c r="B173" t="str">
        <v>Next-Gen PMO: Build for Uncertainty</v>
      </c>
      <c r="C173" t="str">
        <v>Jack duggal</v>
      </c>
      <c r="D173">
        <v>4</v>
      </c>
      <c r="E173" t="str">
        <v>PM Skills</v>
      </c>
    </row>
    <row r="174" spans="1:5" x14ac:dyDescent="0.25">
      <c r="A174" t="str">
        <v>0643D</v>
      </c>
      <c r="B174" t="str">
        <v>Orchestrate Total Success: People, Projects, Change</v>
      </c>
      <c r="C174" t="str">
        <v>Thomas Jarocki</v>
      </c>
      <c r="D174">
        <v>3</v>
      </c>
      <c r="E174" t="str">
        <v>Business Acumen</v>
      </c>
    </row>
    <row r="175" spans="1:5" x14ac:dyDescent="0.25">
      <c r="A175" t="str">
        <v>0192D</v>
      </c>
      <c r="B175" t="str">
        <v>Change Management: Navigate the Future</v>
      </c>
      <c r="C175" t="str">
        <v>Iain Fraser</v>
      </c>
      <c r="D175">
        <v>2</v>
      </c>
      <c r="E175" t="str">
        <v>BA</v>
      </c>
    </row>
    <row r="176" spans="1:5" x14ac:dyDescent="0.25">
      <c r="A176" t="str">
        <v>0562D</v>
      </c>
      <c r="B176" t="str">
        <v>Value Management – Designed, Built, and Operationalized for Success</v>
      </c>
      <c r="C176" t="str">
        <v>Iain Fraser</v>
      </c>
      <c r="D176">
        <v>2</v>
      </c>
      <c r="E176" t="str">
        <v>BA</v>
      </c>
    </row>
    <row r="177" spans="1:5" x14ac:dyDescent="0.25">
      <c r="A177" t="str">
        <v>1752D</v>
      </c>
      <c r="B177" t="str">
        <v>Master Business Acumen Part 1: Become Business-Savvy</v>
      </c>
      <c r="C177" t="str">
        <v>Frank Salidis</v>
      </c>
      <c r="D177">
        <v>2</v>
      </c>
      <c r="E177" t="str">
        <v>Agile</v>
      </c>
    </row>
    <row r="178" spans="1:5" x14ac:dyDescent="0.25">
      <c r="A178" t="str">
        <v>1762D</v>
      </c>
      <c r="B178" t="str">
        <v>Master Business Acumen Part 2: Drive Business Value</v>
      </c>
      <c r="C178" t="str">
        <v>Frank Saladis</v>
      </c>
      <c r="D178">
        <v>2</v>
      </c>
      <c r="E178" t="str">
        <v>Agile</v>
      </c>
    </row>
    <row r="179" spans="1:5" x14ac:dyDescent="0.25">
      <c r="A179" t="str">
        <v>0951D</v>
      </c>
      <c r="B179" t="str">
        <v>Agile Leadership for Digital Transformation</v>
      </c>
      <c r="C179" t="str">
        <v>Drew Clark</v>
      </c>
      <c r="D179">
        <v>1</v>
      </c>
      <c r="E179" t="str">
        <v>Leadership</v>
      </c>
    </row>
    <row r="180" spans="1:5" x14ac:dyDescent="0.25">
      <c r="A180" t="str">
        <v>0342D</v>
      </c>
      <c r="B180" t="str">
        <v>Developing Your EQ to RISE (Reach, Inspire, Serve, and Engage)</v>
      </c>
      <c r="C180" t="str">
        <v>Traci Duez</v>
      </c>
      <c r="D180">
        <v>2</v>
      </c>
      <c r="E180" t="str">
        <v>EI</v>
      </c>
    </row>
    <row r="181" spans="1:5" x14ac:dyDescent="0.25">
      <c r="A181" t="str">
        <v>1724D</v>
      </c>
      <c r="B181" t="str">
        <v>Lead with Emotional Intelligence</v>
      </c>
      <c r="C181" t="str">
        <v>Sunny Faronbi</v>
      </c>
      <c r="D181">
        <v>4</v>
      </c>
      <c r="E181" t="str">
        <v>PMO</v>
      </c>
    </row>
    <row r="182" spans="1:5" x14ac:dyDescent="0.25">
      <c r="A182" t="str">
        <v>1813D</v>
      </c>
      <c r="B182" t="str">
        <v>Plan and Control: Project Management Foundations</v>
      </c>
      <c r="C182" t="str">
        <v>Bob Maiale</v>
      </c>
      <c r="D182">
        <v>3</v>
      </c>
      <c r="E182" t="str">
        <v>PM Skills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E839-E33A-49DB-8F54-7E39AE04EA64}">
  <sheetPr codeName="Sheet4"/>
  <dimension ref="A1:E182"/>
  <sheetViews>
    <sheetView workbookViewId="0">
      <selection activeCell="A3" sqref="A1:E182"/>
    </sheetView>
  </sheetViews>
  <sheetFormatPr defaultRowHeight="15" x14ac:dyDescent="0.25"/>
  <cols>
    <col min="1" max="1" width="10.42578125" bestFit="1" customWidth="1"/>
    <col min="2" max="2" width="91.7109375" bestFit="1" customWidth="1"/>
    <col min="3" max="3" width="27" bestFit="1" customWidth="1"/>
    <col min="4" max="4" width="10.5703125" customWidth="1"/>
    <col min="5" max="5" width="15.28515625" bestFit="1" customWidth="1"/>
  </cols>
  <sheetData>
    <row r="1" spans="1:5" x14ac:dyDescent="0.25">
      <c r="A1" t="s">
        <v>467</v>
      </c>
      <c r="B1" t="s">
        <v>466</v>
      </c>
      <c r="C1" t="s">
        <v>3</v>
      </c>
      <c r="D1" t="s">
        <v>468</v>
      </c>
      <c r="E1" t="s">
        <v>12</v>
      </c>
    </row>
    <row r="2" spans="1:5" x14ac:dyDescent="0.25">
      <c r="A2" t="s">
        <v>23</v>
      </c>
      <c r="B2" t="s">
        <v>24</v>
      </c>
      <c r="C2" t="s">
        <v>25</v>
      </c>
      <c r="D2">
        <v>2</v>
      </c>
      <c r="E2" t="s">
        <v>30</v>
      </c>
    </row>
    <row r="3" spans="1:5" x14ac:dyDescent="0.25">
      <c r="A3" t="s">
        <v>32</v>
      </c>
      <c r="B3" t="s">
        <v>33</v>
      </c>
      <c r="C3" t="s">
        <v>34</v>
      </c>
      <c r="D3">
        <v>2</v>
      </c>
      <c r="E3" t="s">
        <v>35</v>
      </c>
    </row>
    <row r="4" spans="1:5" x14ac:dyDescent="0.25">
      <c r="A4" t="s">
        <v>36</v>
      </c>
      <c r="B4" t="s">
        <v>37</v>
      </c>
      <c r="C4" t="s">
        <v>38</v>
      </c>
      <c r="D4">
        <v>1</v>
      </c>
      <c r="E4" t="s">
        <v>41</v>
      </c>
    </row>
    <row r="5" spans="1:5" x14ac:dyDescent="0.25">
      <c r="A5" t="s">
        <v>43</v>
      </c>
      <c r="B5" t="s">
        <v>44</v>
      </c>
      <c r="C5" t="s">
        <v>45</v>
      </c>
      <c r="D5">
        <v>2</v>
      </c>
      <c r="E5" t="s">
        <v>47</v>
      </c>
    </row>
    <row r="6" spans="1:5" x14ac:dyDescent="0.25">
      <c r="A6" t="s">
        <v>48</v>
      </c>
      <c r="B6" t="s">
        <v>49</v>
      </c>
      <c r="C6" t="s">
        <v>50</v>
      </c>
      <c r="D6">
        <v>2</v>
      </c>
      <c r="E6" t="s">
        <v>51</v>
      </c>
    </row>
    <row r="7" spans="1:5" x14ac:dyDescent="0.25">
      <c r="A7" t="s">
        <v>52</v>
      </c>
      <c r="B7" t="s">
        <v>53</v>
      </c>
      <c r="C7" t="s">
        <v>50</v>
      </c>
      <c r="D7">
        <v>1</v>
      </c>
      <c r="E7" t="s">
        <v>54</v>
      </c>
    </row>
    <row r="8" spans="1:5" x14ac:dyDescent="0.25">
      <c r="A8" t="s">
        <v>55</v>
      </c>
      <c r="B8" t="s">
        <v>56</v>
      </c>
      <c r="C8" t="s">
        <v>57</v>
      </c>
      <c r="D8">
        <v>2</v>
      </c>
      <c r="E8" t="s">
        <v>58</v>
      </c>
    </row>
    <row r="9" spans="1:5" x14ac:dyDescent="0.25">
      <c r="A9" t="s">
        <v>55</v>
      </c>
      <c r="B9" t="s">
        <v>59</v>
      </c>
      <c r="C9" t="s">
        <v>57</v>
      </c>
      <c r="D9">
        <v>2</v>
      </c>
      <c r="E9" t="s">
        <v>60</v>
      </c>
    </row>
    <row r="10" spans="1:5" x14ac:dyDescent="0.25">
      <c r="A10" t="s">
        <v>61</v>
      </c>
      <c r="B10" t="s">
        <v>62</v>
      </c>
      <c r="C10" t="s">
        <v>63</v>
      </c>
      <c r="D10">
        <v>2</v>
      </c>
      <c r="E10" t="s">
        <v>41</v>
      </c>
    </row>
    <row r="11" spans="1:5" x14ac:dyDescent="0.25">
      <c r="A11" t="s">
        <v>64</v>
      </c>
      <c r="B11" t="s">
        <v>65</v>
      </c>
      <c r="C11" t="s">
        <v>66</v>
      </c>
      <c r="D11">
        <v>2</v>
      </c>
      <c r="E11" t="s">
        <v>60</v>
      </c>
    </row>
    <row r="12" spans="1:5" x14ac:dyDescent="0.25">
      <c r="A12" t="s">
        <v>67</v>
      </c>
      <c r="B12" t="s">
        <v>68</v>
      </c>
      <c r="C12" t="s">
        <v>69</v>
      </c>
      <c r="D12">
        <v>2</v>
      </c>
      <c r="E12" t="s">
        <v>70</v>
      </c>
    </row>
    <row r="13" spans="1:5" x14ac:dyDescent="0.25">
      <c r="A13" t="s">
        <v>71</v>
      </c>
      <c r="B13" t="s">
        <v>72</v>
      </c>
      <c r="C13" t="s">
        <v>73</v>
      </c>
      <c r="D13">
        <v>2</v>
      </c>
      <c r="E13" t="s">
        <v>41</v>
      </c>
    </row>
    <row r="14" spans="1:5" x14ac:dyDescent="0.25">
      <c r="A14" t="s">
        <v>74</v>
      </c>
      <c r="B14" t="s">
        <v>75</v>
      </c>
      <c r="C14" t="s">
        <v>76</v>
      </c>
      <c r="D14">
        <v>3</v>
      </c>
      <c r="E14" t="s">
        <v>60</v>
      </c>
    </row>
    <row r="15" spans="1:5" x14ac:dyDescent="0.25">
      <c r="A15" t="s">
        <v>77</v>
      </c>
      <c r="B15" t="s">
        <v>78</v>
      </c>
      <c r="C15" t="s">
        <v>79</v>
      </c>
      <c r="D15">
        <v>2</v>
      </c>
      <c r="E15" t="s">
        <v>60</v>
      </c>
    </row>
    <row r="16" spans="1:5" x14ac:dyDescent="0.25">
      <c r="A16" t="s">
        <v>80</v>
      </c>
      <c r="B16" t="s">
        <v>81</v>
      </c>
      <c r="C16" t="s">
        <v>82</v>
      </c>
      <c r="D16" t="s">
        <v>83</v>
      </c>
      <c r="E16" t="s">
        <v>47</v>
      </c>
    </row>
    <row r="17" spans="1:5" x14ac:dyDescent="0.25">
      <c r="A17" t="s">
        <v>86</v>
      </c>
      <c r="B17" t="s">
        <v>87</v>
      </c>
      <c r="C17" t="s">
        <v>88</v>
      </c>
      <c r="D17">
        <v>3</v>
      </c>
      <c r="E17" t="s">
        <v>89</v>
      </c>
    </row>
    <row r="18" spans="1:5" hidden="1" x14ac:dyDescent="0.25">
      <c r="A18">
        <v>0</v>
      </c>
      <c r="B18">
        <v>0</v>
      </c>
      <c r="C18">
        <v>0</v>
      </c>
      <c r="D18">
        <v>0</v>
      </c>
      <c r="E18">
        <v>0</v>
      </c>
    </row>
    <row r="19" spans="1:5" hidden="1" x14ac:dyDescent="0.25">
      <c r="A19" t="s">
        <v>1</v>
      </c>
      <c r="B19" t="s">
        <v>94</v>
      </c>
      <c r="C19" t="s">
        <v>3</v>
      </c>
      <c r="D19" t="s">
        <v>4</v>
      </c>
      <c r="E19" t="s">
        <v>12</v>
      </c>
    </row>
    <row r="20" spans="1:5" x14ac:dyDescent="0.25">
      <c r="A20" t="s">
        <v>98</v>
      </c>
      <c r="B20" t="s">
        <v>99</v>
      </c>
      <c r="C20" t="s">
        <v>100</v>
      </c>
      <c r="D20">
        <v>1</v>
      </c>
      <c r="E20" t="s">
        <v>102</v>
      </c>
    </row>
    <row r="21" spans="1:5" x14ac:dyDescent="0.25">
      <c r="A21" t="s">
        <v>103</v>
      </c>
      <c r="B21" t="s">
        <v>104</v>
      </c>
      <c r="C21" t="s">
        <v>100</v>
      </c>
      <c r="D21">
        <v>3</v>
      </c>
      <c r="E21" t="s">
        <v>105</v>
      </c>
    </row>
    <row r="22" spans="1:5" x14ac:dyDescent="0.25">
      <c r="A22" t="s">
        <v>106</v>
      </c>
      <c r="B22" t="s">
        <v>107</v>
      </c>
      <c r="C22" t="s">
        <v>108</v>
      </c>
      <c r="D22">
        <v>2</v>
      </c>
      <c r="E22" t="s">
        <v>58</v>
      </c>
    </row>
    <row r="23" spans="1:5" x14ac:dyDescent="0.25">
      <c r="A23" t="s">
        <v>111</v>
      </c>
      <c r="B23" t="s">
        <v>112</v>
      </c>
      <c r="C23" t="s">
        <v>113</v>
      </c>
      <c r="D23">
        <v>2</v>
      </c>
      <c r="E23" t="s">
        <v>102</v>
      </c>
    </row>
    <row r="24" spans="1:5" x14ac:dyDescent="0.25">
      <c r="A24" t="s">
        <v>115</v>
      </c>
      <c r="B24" t="s">
        <v>116</v>
      </c>
      <c r="C24" t="s">
        <v>117</v>
      </c>
      <c r="D24">
        <v>2</v>
      </c>
      <c r="E24" t="s">
        <v>41</v>
      </c>
    </row>
    <row r="25" spans="1:5" x14ac:dyDescent="0.25">
      <c r="A25" t="s">
        <v>119</v>
      </c>
      <c r="B25" t="s">
        <v>120</v>
      </c>
      <c r="C25" t="s">
        <v>117</v>
      </c>
      <c r="D25">
        <v>2</v>
      </c>
      <c r="E25" t="s">
        <v>41</v>
      </c>
    </row>
    <row r="26" spans="1:5" x14ac:dyDescent="0.25">
      <c r="A26" t="s">
        <v>121</v>
      </c>
      <c r="B26" t="s">
        <v>122</v>
      </c>
      <c r="C26" t="s">
        <v>50</v>
      </c>
      <c r="D26">
        <v>4</v>
      </c>
      <c r="E26" t="s">
        <v>60</v>
      </c>
    </row>
    <row r="27" spans="1:5" x14ac:dyDescent="0.25">
      <c r="A27" t="s">
        <v>124</v>
      </c>
      <c r="B27" t="s">
        <v>125</v>
      </c>
      <c r="C27" t="s">
        <v>126</v>
      </c>
      <c r="D27">
        <v>2</v>
      </c>
      <c r="E27" t="s">
        <v>54</v>
      </c>
    </row>
    <row r="28" spans="1:5" x14ac:dyDescent="0.25">
      <c r="A28" t="s">
        <v>128</v>
      </c>
      <c r="B28" t="s">
        <v>129</v>
      </c>
      <c r="C28" t="s">
        <v>126</v>
      </c>
      <c r="D28">
        <v>2</v>
      </c>
      <c r="E28" t="s">
        <v>105</v>
      </c>
    </row>
    <row r="29" spans="1:5" x14ac:dyDescent="0.25">
      <c r="A29" t="s">
        <v>131</v>
      </c>
      <c r="B29" t="s">
        <v>132</v>
      </c>
      <c r="C29" t="s">
        <v>133</v>
      </c>
      <c r="D29">
        <v>1</v>
      </c>
      <c r="E29" t="s">
        <v>105</v>
      </c>
    </row>
    <row r="30" spans="1:5" x14ac:dyDescent="0.25">
      <c r="A30" t="s">
        <v>136</v>
      </c>
      <c r="B30" t="s">
        <v>137</v>
      </c>
      <c r="C30" t="s">
        <v>133</v>
      </c>
      <c r="D30">
        <v>1</v>
      </c>
      <c r="E30" t="s">
        <v>105</v>
      </c>
    </row>
    <row r="31" spans="1:5" x14ac:dyDescent="0.25">
      <c r="A31" t="s">
        <v>71</v>
      </c>
      <c r="B31" t="s">
        <v>72</v>
      </c>
      <c r="C31" t="s">
        <v>73</v>
      </c>
      <c r="D31">
        <v>2</v>
      </c>
      <c r="E31" t="s">
        <v>89</v>
      </c>
    </row>
    <row r="32" spans="1:5" x14ac:dyDescent="0.25">
      <c r="A32" t="s">
        <v>139</v>
      </c>
      <c r="B32" t="s">
        <v>140</v>
      </c>
      <c r="C32" t="s">
        <v>141</v>
      </c>
      <c r="D32">
        <v>2</v>
      </c>
      <c r="E32" t="s">
        <v>105</v>
      </c>
    </row>
    <row r="33" spans="1:5" x14ac:dyDescent="0.25">
      <c r="A33" t="s">
        <v>143</v>
      </c>
      <c r="B33" t="s">
        <v>144</v>
      </c>
      <c r="C33" t="s">
        <v>141</v>
      </c>
      <c r="D33">
        <v>2</v>
      </c>
      <c r="E33" t="s">
        <v>105</v>
      </c>
    </row>
    <row r="34" spans="1:5" x14ac:dyDescent="0.25">
      <c r="A34" t="s">
        <v>146</v>
      </c>
      <c r="B34" t="s">
        <v>147</v>
      </c>
      <c r="C34" t="s">
        <v>148</v>
      </c>
      <c r="D34">
        <v>2</v>
      </c>
      <c r="E34" t="s">
        <v>150</v>
      </c>
    </row>
    <row r="35" spans="1:5" x14ac:dyDescent="0.25">
      <c r="A35" t="s">
        <v>152</v>
      </c>
      <c r="B35" t="s">
        <v>153</v>
      </c>
      <c r="C35" t="s">
        <v>154</v>
      </c>
      <c r="D35">
        <v>2</v>
      </c>
      <c r="E35" t="s">
        <v>155</v>
      </c>
    </row>
    <row r="36" spans="1:5" x14ac:dyDescent="0.25">
      <c r="A36" t="s">
        <v>156</v>
      </c>
      <c r="B36" t="s">
        <v>157</v>
      </c>
      <c r="C36" t="s">
        <v>69</v>
      </c>
      <c r="D36">
        <v>4</v>
      </c>
      <c r="E36" t="s">
        <v>70</v>
      </c>
    </row>
    <row r="37" spans="1:5" x14ac:dyDescent="0.25">
      <c r="A37" t="s">
        <v>160</v>
      </c>
      <c r="B37" t="s">
        <v>161</v>
      </c>
      <c r="C37" t="s">
        <v>79</v>
      </c>
      <c r="D37">
        <v>4</v>
      </c>
      <c r="E37" t="s">
        <v>60</v>
      </c>
    </row>
    <row r="38" spans="1:5" hidden="1" x14ac:dyDescent="0.25">
      <c r="A38" t="s">
        <v>1</v>
      </c>
      <c r="B38" t="s">
        <v>165</v>
      </c>
      <c r="C38" t="s">
        <v>3</v>
      </c>
      <c r="D38" t="s">
        <v>15</v>
      </c>
      <c r="E38" t="s">
        <v>12</v>
      </c>
    </row>
    <row r="39" spans="1:5" x14ac:dyDescent="0.25">
      <c r="A39" t="s">
        <v>168</v>
      </c>
      <c r="B39" t="s">
        <v>169</v>
      </c>
      <c r="C39" t="s">
        <v>148</v>
      </c>
      <c r="D39">
        <v>2</v>
      </c>
      <c r="E39" t="s">
        <v>150</v>
      </c>
    </row>
    <row r="40" spans="1:5" x14ac:dyDescent="0.25">
      <c r="A40" t="s">
        <v>146</v>
      </c>
      <c r="B40" t="s">
        <v>147</v>
      </c>
      <c r="C40" t="s">
        <v>170</v>
      </c>
      <c r="D40">
        <v>2</v>
      </c>
      <c r="E40" t="s">
        <v>150</v>
      </c>
    </row>
    <row r="41" spans="1:5" x14ac:dyDescent="0.25">
      <c r="A41" t="s">
        <v>171</v>
      </c>
      <c r="B41" t="s">
        <v>172</v>
      </c>
      <c r="C41" t="s">
        <v>170</v>
      </c>
      <c r="D41">
        <v>2</v>
      </c>
      <c r="E41" t="s">
        <v>150</v>
      </c>
    </row>
    <row r="42" spans="1:5" hidden="1" x14ac:dyDescent="0.25">
      <c r="A42">
        <v>0</v>
      </c>
      <c r="B42" t="s">
        <v>173</v>
      </c>
      <c r="C42" t="s">
        <v>174</v>
      </c>
      <c r="D42">
        <v>0</v>
      </c>
      <c r="E42">
        <v>0</v>
      </c>
    </row>
    <row r="43" spans="1:5" x14ac:dyDescent="0.25">
      <c r="A43" t="s">
        <v>115</v>
      </c>
      <c r="B43" t="s">
        <v>116</v>
      </c>
      <c r="C43" t="s">
        <v>117</v>
      </c>
      <c r="D43">
        <v>2</v>
      </c>
      <c r="E43" t="s">
        <v>150</v>
      </c>
    </row>
    <row r="44" spans="1:5" hidden="1" x14ac:dyDescent="0.25">
      <c r="A44" t="s">
        <v>1</v>
      </c>
      <c r="B44" t="s">
        <v>176</v>
      </c>
      <c r="C44" t="s">
        <v>3</v>
      </c>
      <c r="D44" t="s">
        <v>15</v>
      </c>
      <c r="E44" t="s">
        <v>12</v>
      </c>
    </row>
    <row r="45" spans="1:5" x14ac:dyDescent="0.25">
      <c r="A45" t="s">
        <v>64</v>
      </c>
      <c r="B45" t="s">
        <v>181</v>
      </c>
      <c r="C45" t="s">
        <v>66</v>
      </c>
      <c r="D45">
        <v>2</v>
      </c>
      <c r="E45" t="s">
        <v>60</v>
      </c>
    </row>
    <row r="46" spans="1:5" x14ac:dyDescent="0.25">
      <c r="A46" t="s">
        <v>182</v>
      </c>
      <c r="B46" t="s">
        <v>183</v>
      </c>
      <c r="C46" t="s">
        <v>184</v>
      </c>
      <c r="D46" t="s">
        <v>85</v>
      </c>
      <c r="E46" t="s">
        <v>105</v>
      </c>
    </row>
    <row r="47" spans="1:5" x14ac:dyDescent="0.25">
      <c r="A47" t="s">
        <v>185</v>
      </c>
      <c r="B47" t="s">
        <v>186</v>
      </c>
      <c r="C47" t="s">
        <v>187</v>
      </c>
      <c r="D47">
        <v>4</v>
      </c>
      <c r="E47" t="s">
        <v>188</v>
      </c>
    </row>
    <row r="48" spans="1:5" x14ac:dyDescent="0.25">
      <c r="A48" t="s">
        <v>189</v>
      </c>
      <c r="B48" t="s">
        <v>190</v>
      </c>
      <c r="C48" t="s">
        <v>191</v>
      </c>
      <c r="D48" t="s">
        <v>85</v>
      </c>
      <c r="E48" t="s">
        <v>54</v>
      </c>
    </row>
    <row r="49" spans="1:5" x14ac:dyDescent="0.25">
      <c r="A49" t="s">
        <v>193</v>
      </c>
      <c r="B49" t="s">
        <v>194</v>
      </c>
      <c r="C49" t="s">
        <v>191</v>
      </c>
      <c r="D49">
        <v>2</v>
      </c>
      <c r="E49" t="s">
        <v>54</v>
      </c>
    </row>
    <row r="50" spans="1:5" x14ac:dyDescent="0.25">
      <c r="A50" t="s">
        <v>195</v>
      </c>
      <c r="B50" t="s">
        <v>196</v>
      </c>
      <c r="C50" t="s">
        <v>69</v>
      </c>
      <c r="D50">
        <v>2</v>
      </c>
      <c r="E50" t="s">
        <v>105</v>
      </c>
    </row>
    <row r="51" spans="1:5" x14ac:dyDescent="0.25">
      <c r="A51" t="s">
        <v>197</v>
      </c>
      <c r="B51" t="s">
        <v>198</v>
      </c>
      <c r="C51" t="s">
        <v>199</v>
      </c>
      <c r="D51">
        <v>1</v>
      </c>
      <c r="E51" t="s">
        <v>30</v>
      </c>
    </row>
    <row r="52" spans="1:5" x14ac:dyDescent="0.25">
      <c r="A52" t="s">
        <v>200</v>
      </c>
      <c r="B52" t="s">
        <v>201</v>
      </c>
      <c r="C52" t="s">
        <v>199</v>
      </c>
      <c r="D52">
        <v>1</v>
      </c>
      <c r="E52" t="s">
        <v>41</v>
      </c>
    </row>
    <row r="53" spans="1:5" x14ac:dyDescent="0.25">
      <c r="A53" t="s">
        <v>202</v>
      </c>
      <c r="B53" t="s">
        <v>203</v>
      </c>
      <c r="C53" t="s">
        <v>204</v>
      </c>
      <c r="D53">
        <v>2</v>
      </c>
      <c r="E53" t="s">
        <v>105</v>
      </c>
    </row>
    <row r="54" spans="1:5" x14ac:dyDescent="0.25">
      <c r="A54" t="s">
        <v>205</v>
      </c>
      <c r="B54" t="s">
        <v>206</v>
      </c>
      <c r="C54" t="s">
        <v>207</v>
      </c>
      <c r="D54">
        <v>1</v>
      </c>
      <c r="E54" t="s">
        <v>54</v>
      </c>
    </row>
    <row r="55" spans="1:5" x14ac:dyDescent="0.25">
      <c r="A55" t="s">
        <v>208</v>
      </c>
      <c r="B55" t="s">
        <v>209</v>
      </c>
      <c r="C55" t="s">
        <v>207</v>
      </c>
      <c r="D55">
        <v>1</v>
      </c>
      <c r="E55" t="s">
        <v>54</v>
      </c>
    </row>
    <row r="56" spans="1:5" x14ac:dyDescent="0.25">
      <c r="A56" t="s">
        <v>48</v>
      </c>
      <c r="B56" t="s">
        <v>49</v>
      </c>
      <c r="C56" t="s">
        <v>50</v>
      </c>
      <c r="D56">
        <v>2</v>
      </c>
      <c r="E56" t="s">
        <v>30</v>
      </c>
    </row>
    <row r="57" spans="1:5" x14ac:dyDescent="0.25">
      <c r="A57" t="s">
        <v>212</v>
      </c>
      <c r="B57" t="s">
        <v>213</v>
      </c>
      <c r="C57" t="s">
        <v>214</v>
      </c>
      <c r="D57">
        <v>2</v>
      </c>
      <c r="E57" t="s">
        <v>215</v>
      </c>
    </row>
    <row r="58" spans="1:5" x14ac:dyDescent="0.25">
      <c r="A58" t="s">
        <v>216</v>
      </c>
      <c r="B58" t="s">
        <v>217</v>
      </c>
      <c r="C58" t="s">
        <v>214</v>
      </c>
      <c r="D58">
        <v>1</v>
      </c>
      <c r="E58" t="s">
        <v>215</v>
      </c>
    </row>
    <row r="59" spans="1:5" x14ac:dyDescent="0.25">
      <c r="A59" t="s">
        <v>218</v>
      </c>
      <c r="B59" t="s">
        <v>219</v>
      </c>
      <c r="C59" t="s">
        <v>220</v>
      </c>
      <c r="D59">
        <v>2</v>
      </c>
      <c r="E59" t="s">
        <v>221</v>
      </c>
    </row>
    <row r="60" spans="1:5" x14ac:dyDescent="0.25">
      <c r="A60" t="s">
        <v>222</v>
      </c>
      <c r="B60" t="s">
        <v>223</v>
      </c>
      <c r="C60" t="s">
        <v>224</v>
      </c>
      <c r="D60">
        <v>2</v>
      </c>
      <c r="E60" t="s">
        <v>30</v>
      </c>
    </row>
    <row r="61" spans="1:5" x14ac:dyDescent="0.25">
      <c r="A61" t="s">
        <v>225</v>
      </c>
      <c r="B61" t="s">
        <v>226</v>
      </c>
      <c r="C61" t="s">
        <v>227</v>
      </c>
      <c r="D61">
        <v>2</v>
      </c>
      <c r="E61" t="s">
        <v>54</v>
      </c>
    </row>
    <row r="62" spans="1:5" x14ac:dyDescent="0.25">
      <c r="A62" t="s">
        <v>229</v>
      </c>
      <c r="B62" t="s">
        <v>230</v>
      </c>
      <c r="C62" t="s">
        <v>231</v>
      </c>
      <c r="D62">
        <v>3</v>
      </c>
      <c r="E62" t="s">
        <v>54</v>
      </c>
    </row>
    <row r="63" spans="1:5" hidden="1" x14ac:dyDescent="0.25">
      <c r="A63">
        <v>0</v>
      </c>
      <c r="B63" t="s">
        <v>234</v>
      </c>
      <c r="C63" t="s">
        <v>3</v>
      </c>
      <c r="D63" t="s">
        <v>4</v>
      </c>
      <c r="E63">
        <v>0</v>
      </c>
    </row>
    <row r="64" spans="1:5" x14ac:dyDescent="0.25">
      <c r="A64" t="s">
        <v>139</v>
      </c>
      <c r="B64" t="s">
        <v>140</v>
      </c>
      <c r="C64" t="s">
        <v>141</v>
      </c>
      <c r="D64">
        <v>2</v>
      </c>
      <c r="E64" t="s">
        <v>240</v>
      </c>
    </row>
    <row r="65" spans="1:5" x14ac:dyDescent="0.25">
      <c r="A65" t="s">
        <v>143</v>
      </c>
      <c r="B65" t="s">
        <v>144</v>
      </c>
      <c r="C65" t="s">
        <v>141</v>
      </c>
      <c r="D65">
        <v>2</v>
      </c>
      <c r="E65" t="s">
        <v>215</v>
      </c>
    </row>
    <row r="66" spans="1:5" x14ac:dyDescent="0.25">
      <c r="A66" t="s">
        <v>98</v>
      </c>
      <c r="B66" t="s">
        <v>99</v>
      </c>
      <c r="C66" t="s">
        <v>100</v>
      </c>
      <c r="D66">
        <v>1</v>
      </c>
      <c r="E66" t="s">
        <v>54</v>
      </c>
    </row>
    <row r="67" spans="1:5" x14ac:dyDescent="0.25">
      <c r="A67" t="s">
        <v>103</v>
      </c>
      <c r="B67" t="s">
        <v>104</v>
      </c>
      <c r="C67" t="s">
        <v>100</v>
      </c>
      <c r="D67">
        <v>3</v>
      </c>
      <c r="E67" t="s">
        <v>240</v>
      </c>
    </row>
    <row r="68" spans="1:5" x14ac:dyDescent="0.25">
      <c r="A68" t="s">
        <v>243</v>
      </c>
      <c r="B68" t="s">
        <v>244</v>
      </c>
      <c r="C68" t="s">
        <v>154</v>
      </c>
      <c r="D68">
        <v>2</v>
      </c>
      <c r="E68" t="s">
        <v>54</v>
      </c>
    </row>
    <row r="69" spans="1:5" x14ac:dyDescent="0.25">
      <c r="A69" t="s">
        <v>152</v>
      </c>
      <c r="B69" t="s">
        <v>245</v>
      </c>
      <c r="C69" t="s">
        <v>154</v>
      </c>
      <c r="D69">
        <v>2</v>
      </c>
      <c r="E69" t="s">
        <v>47</v>
      </c>
    </row>
    <row r="70" spans="1:5" x14ac:dyDescent="0.25">
      <c r="A70" t="s">
        <v>111</v>
      </c>
      <c r="B70" t="s">
        <v>112</v>
      </c>
      <c r="C70" t="s">
        <v>113</v>
      </c>
      <c r="D70">
        <v>2</v>
      </c>
      <c r="E70" t="s">
        <v>105</v>
      </c>
    </row>
    <row r="71" spans="1:5" x14ac:dyDescent="0.25">
      <c r="A71" t="s">
        <v>248</v>
      </c>
      <c r="B71" t="s">
        <v>249</v>
      </c>
      <c r="C71" t="s">
        <v>250</v>
      </c>
      <c r="D71">
        <v>2</v>
      </c>
      <c r="E71" t="s">
        <v>30</v>
      </c>
    </row>
    <row r="72" spans="1:5" x14ac:dyDescent="0.25">
      <c r="A72" t="s">
        <v>251</v>
      </c>
      <c r="B72" t="s">
        <v>252</v>
      </c>
      <c r="C72" t="s">
        <v>250</v>
      </c>
      <c r="D72" t="s">
        <v>253</v>
      </c>
      <c r="E72" t="s">
        <v>30</v>
      </c>
    </row>
    <row r="73" spans="1:5" x14ac:dyDescent="0.25">
      <c r="A73" t="s">
        <v>256</v>
      </c>
      <c r="B73" t="s">
        <v>257</v>
      </c>
      <c r="C73" t="s">
        <v>76</v>
      </c>
      <c r="D73">
        <v>3</v>
      </c>
      <c r="E73" t="s">
        <v>105</v>
      </c>
    </row>
    <row r="74" spans="1:5" x14ac:dyDescent="0.25">
      <c r="A74" t="s">
        <v>258</v>
      </c>
      <c r="B74" t="s">
        <v>259</v>
      </c>
      <c r="C74" t="s">
        <v>148</v>
      </c>
      <c r="D74">
        <v>1</v>
      </c>
      <c r="E74" t="s">
        <v>70</v>
      </c>
    </row>
    <row r="75" spans="1:5" x14ac:dyDescent="0.25">
      <c r="A75" t="s">
        <v>261</v>
      </c>
      <c r="B75" t="s">
        <v>262</v>
      </c>
      <c r="C75" t="s">
        <v>148</v>
      </c>
      <c r="D75">
        <v>3</v>
      </c>
      <c r="E75" t="s">
        <v>150</v>
      </c>
    </row>
    <row r="76" spans="1:5" x14ac:dyDescent="0.25">
      <c r="A76" t="s">
        <v>263</v>
      </c>
      <c r="B76" t="s">
        <v>264</v>
      </c>
      <c r="C76" t="s">
        <v>231</v>
      </c>
      <c r="D76">
        <v>2</v>
      </c>
      <c r="E76" t="s">
        <v>265</v>
      </c>
    </row>
    <row r="77" spans="1:5" x14ac:dyDescent="0.25">
      <c r="A77" t="s">
        <v>23</v>
      </c>
      <c r="B77" t="s">
        <v>267</v>
      </c>
      <c r="C77" t="s">
        <v>25</v>
      </c>
      <c r="D77">
        <v>2</v>
      </c>
      <c r="E77" t="s">
        <v>268</v>
      </c>
    </row>
    <row r="78" spans="1:5" x14ac:dyDescent="0.25">
      <c r="A78" t="s">
        <v>64</v>
      </c>
      <c r="B78" t="s">
        <v>269</v>
      </c>
      <c r="C78" t="s">
        <v>66</v>
      </c>
      <c r="D78">
        <v>2</v>
      </c>
      <c r="E78" t="s">
        <v>60</v>
      </c>
    </row>
    <row r="79" spans="1:5" x14ac:dyDescent="0.25">
      <c r="A79" t="s">
        <v>270</v>
      </c>
      <c r="B79" t="s">
        <v>271</v>
      </c>
      <c r="C79" t="s">
        <v>38</v>
      </c>
      <c r="D79">
        <v>2</v>
      </c>
      <c r="E79" t="s">
        <v>70</v>
      </c>
    </row>
    <row r="80" spans="1:5" hidden="1" x14ac:dyDescent="0.25">
      <c r="A80" t="s">
        <v>1</v>
      </c>
      <c r="B80" t="s">
        <v>274</v>
      </c>
      <c r="C80" t="s">
        <v>3</v>
      </c>
      <c r="D80" t="s">
        <v>15</v>
      </c>
      <c r="E80" t="s">
        <v>12</v>
      </c>
    </row>
    <row r="81" spans="1:5" hidden="1" x14ac:dyDescent="0.25">
      <c r="A81">
        <v>0</v>
      </c>
      <c r="B81">
        <v>0</v>
      </c>
      <c r="C81" t="s">
        <v>170</v>
      </c>
      <c r="D81">
        <v>2</v>
      </c>
      <c r="E81">
        <v>0</v>
      </c>
    </row>
    <row r="82" spans="1:5" hidden="1" x14ac:dyDescent="0.25">
      <c r="A82" t="s">
        <v>1</v>
      </c>
      <c r="B82" t="s">
        <v>280</v>
      </c>
      <c r="C82" t="s">
        <v>3</v>
      </c>
      <c r="D82">
        <v>0</v>
      </c>
      <c r="E82" t="s">
        <v>12</v>
      </c>
    </row>
    <row r="83" spans="1:5" x14ac:dyDescent="0.25">
      <c r="A83" t="s">
        <v>160</v>
      </c>
      <c r="B83" t="s">
        <v>161</v>
      </c>
      <c r="C83" t="s">
        <v>79</v>
      </c>
      <c r="D83">
        <v>4</v>
      </c>
      <c r="E83" t="s">
        <v>285</v>
      </c>
    </row>
    <row r="84" spans="1:5" x14ac:dyDescent="0.25">
      <c r="A84" t="s">
        <v>139</v>
      </c>
      <c r="B84" t="s">
        <v>140</v>
      </c>
      <c r="C84" t="s">
        <v>141</v>
      </c>
      <c r="D84">
        <v>2</v>
      </c>
      <c r="E84" t="s">
        <v>54</v>
      </c>
    </row>
    <row r="85" spans="1:5" x14ac:dyDescent="0.25">
      <c r="A85" t="s">
        <v>98</v>
      </c>
      <c r="B85" t="s">
        <v>99</v>
      </c>
      <c r="C85" t="s">
        <v>100</v>
      </c>
      <c r="D85">
        <v>1</v>
      </c>
      <c r="E85" t="s">
        <v>51</v>
      </c>
    </row>
    <row r="86" spans="1:5" x14ac:dyDescent="0.25">
      <c r="A86" t="s">
        <v>103</v>
      </c>
      <c r="B86" t="s">
        <v>104</v>
      </c>
      <c r="C86" t="s">
        <v>100</v>
      </c>
      <c r="D86">
        <v>3</v>
      </c>
      <c r="E86" t="s">
        <v>287</v>
      </c>
    </row>
    <row r="87" spans="1:5" x14ac:dyDescent="0.25">
      <c r="A87" t="s">
        <v>288</v>
      </c>
      <c r="B87" t="s">
        <v>289</v>
      </c>
      <c r="C87" t="s">
        <v>290</v>
      </c>
      <c r="D87">
        <v>2</v>
      </c>
      <c r="E87" t="s">
        <v>291</v>
      </c>
    </row>
    <row r="88" spans="1:5" x14ac:dyDescent="0.25">
      <c r="A88" t="s">
        <v>111</v>
      </c>
      <c r="B88" t="s">
        <v>112</v>
      </c>
      <c r="C88" t="s">
        <v>113</v>
      </c>
      <c r="D88">
        <v>2</v>
      </c>
      <c r="E88" t="s">
        <v>285</v>
      </c>
    </row>
    <row r="89" spans="1:5" x14ac:dyDescent="0.25">
      <c r="A89" t="s">
        <v>294</v>
      </c>
      <c r="B89" t="s">
        <v>295</v>
      </c>
      <c r="C89" t="s">
        <v>76</v>
      </c>
      <c r="D89">
        <v>4</v>
      </c>
      <c r="E89" t="s">
        <v>296</v>
      </c>
    </row>
    <row r="90" spans="1:5" x14ac:dyDescent="0.25">
      <c r="A90" t="s">
        <v>115</v>
      </c>
      <c r="B90" t="s">
        <v>116</v>
      </c>
      <c r="C90" t="s">
        <v>297</v>
      </c>
      <c r="D90">
        <v>2</v>
      </c>
      <c r="E90" t="s">
        <v>41</v>
      </c>
    </row>
    <row r="91" spans="1:5" x14ac:dyDescent="0.25">
      <c r="A91" t="s">
        <v>119</v>
      </c>
      <c r="B91" t="s">
        <v>120</v>
      </c>
      <c r="C91" t="s">
        <v>297</v>
      </c>
      <c r="D91">
        <v>2</v>
      </c>
      <c r="E91" t="s">
        <v>41</v>
      </c>
    </row>
    <row r="92" spans="1:5" x14ac:dyDescent="0.25">
      <c r="A92" t="s">
        <v>298</v>
      </c>
      <c r="B92" t="s">
        <v>299</v>
      </c>
      <c r="C92" t="s">
        <v>300</v>
      </c>
      <c r="D92">
        <v>2</v>
      </c>
      <c r="E92" t="s">
        <v>41</v>
      </c>
    </row>
    <row r="93" spans="1:5" x14ac:dyDescent="0.25">
      <c r="A93" t="s">
        <v>298</v>
      </c>
      <c r="B93" t="s">
        <v>301</v>
      </c>
      <c r="C93" t="s">
        <v>300</v>
      </c>
      <c r="D93">
        <v>2</v>
      </c>
      <c r="E93" t="s">
        <v>285</v>
      </c>
    </row>
    <row r="94" spans="1:5" x14ac:dyDescent="0.25">
      <c r="A94" t="s">
        <v>261</v>
      </c>
      <c r="B94" t="s">
        <v>262</v>
      </c>
      <c r="C94" t="s">
        <v>148</v>
      </c>
      <c r="D94">
        <v>3</v>
      </c>
      <c r="E94" t="s">
        <v>285</v>
      </c>
    </row>
    <row r="95" spans="1:5" x14ac:dyDescent="0.25">
      <c r="A95" t="s">
        <v>248</v>
      </c>
      <c r="B95" t="s">
        <v>249</v>
      </c>
      <c r="C95" t="s">
        <v>302</v>
      </c>
      <c r="D95">
        <v>2</v>
      </c>
      <c r="E95" t="s">
        <v>285</v>
      </c>
    </row>
    <row r="96" spans="1:5" x14ac:dyDescent="0.25">
      <c r="A96" t="s">
        <v>303</v>
      </c>
      <c r="B96" t="s">
        <v>304</v>
      </c>
      <c r="C96" t="s">
        <v>305</v>
      </c>
      <c r="D96">
        <v>2</v>
      </c>
      <c r="E96" t="s">
        <v>105</v>
      </c>
    </row>
    <row r="97" spans="1:5" x14ac:dyDescent="0.25">
      <c r="A97" t="s">
        <v>306</v>
      </c>
      <c r="B97" t="s">
        <v>307</v>
      </c>
      <c r="C97" t="s">
        <v>308</v>
      </c>
      <c r="D97">
        <v>2</v>
      </c>
      <c r="E97" t="s">
        <v>105</v>
      </c>
    </row>
    <row r="98" spans="1:5" hidden="1" x14ac:dyDescent="0.25">
      <c r="A98" t="s">
        <v>247</v>
      </c>
      <c r="B98">
        <v>0</v>
      </c>
      <c r="C98">
        <v>0</v>
      </c>
      <c r="D98">
        <v>0</v>
      </c>
      <c r="E98" t="s">
        <v>309</v>
      </c>
    </row>
    <row r="99" spans="1:5" x14ac:dyDescent="0.25">
      <c r="A99" t="s">
        <v>310</v>
      </c>
      <c r="B99" t="s">
        <v>311</v>
      </c>
      <c r="C99" t="s">
        <v>154</v>
      </c>
      <c r="D99">
        <v>4</v>
      </c>
      <c r="E99" t="s">
        <v>54</v>
      </c>
    </row>
    <row r="100" spans="1:5" hidden="1" x14ac:dyDescent="0.25">
      <c r="A100">
        <v>0</v>
      </c>
      <c r="B100" t="s">
        <v>316</v>
      </c>
      <c r="C100" t="s">
        <v>3</v>
      </c>
      <c r="D100">
        <v>0</v>
      </c>
      <c r="E100">
        <v>0</v>
      </c>
    </row>
    <row r="101" spans="1:5" x14ac:dyDescent="0.25">
      <c r="A101" t="s">
        <v>80</v>
      </c>
      <c r="B101" t="s">
        <v>319</v>
      </c>
      <c r="C101" t="s">
        <v>82</v>
      </c>
      <c r="D101" t="s">
        <v>320</v>
      </c>
      <c r="E101" t="s">
        <v>285</v>
      </c>
    </row>
    <row r="102" spans="1:5" x14ac:dyDescent="0.25">
      <c r="A102" t="s">
        <v>202</v>
      </c>
      <c r="B102" t="s">
        <v>203</v>
      </c>
      <c r="C102" t="s">
        <v>204</v>
      </c>
      <c r="D102">
        <v>2</v>
      </c>
      <c r="E102" t="s">
        <v>285</v>
      </c>
    </row>
    <row r="103" spans="1:5" x14ac:dyDescent="0.25">
      <c r="A103" t="s">
        <v>322</v>
      </c>
      <c r="B103" t="s">
        <v>323</v>
      </c>
      <c r="C103" t="s">
        <v>324</v>
      </c>
      <c r="D103">
        <v>1</v>
      </c>
      <c r="E103" t="s">
        <v>325</v>
      </c>
    </row>
    <row r="104" spans="1:5" x14ac:dyDescent="0.25">
      <c r="A104" t="s">
        <v>326</v>
      </c>
      <c r="B104" t="s">
        <v>327</v>
      </c>
      <c r="C104" t="s">
        <v>328</v>
      </c>
      <c r="D104">
        <v>2</v>
      </c>
      <c r="E104" t="s">
        <v>60</v>
      </c>
    </row>
    <row r="105" spans="1:5" x14ac:dyDescent="0.25">
      <c r="A105" t="s">
        <v>263</v>
      </c>
      <c r="B105" t="s">
        <v>264</v>
      </c>
      <c r="C105" t="s">
        <v>231</v>
      </c>
      <c r="D105">
        <v>2</v>
      </c>
      <c r="E105" t="s">
        <v>329</v>
      </c>
    </row>
    <row r="106" spans="1:5" x14ac:dyDescent="0.25">
      <c r="A106" t="s">
        <v>288</v>
      </c>
      <c r="B106" t="s">
        <v>289</v>
      </c>
      <c r="C106" t="s">
        <v>330</v>
      </c>
      <c r="D106">
        <v>2</v>
      </c>
      <c r="E106" t="s">
        <v>291</v>
      </c>
    </row>
    <row r="107" spans="1:5" x14ac:dyDescent="0.25">
      <c r="A107" t="s">
        <v>331</v>
      </c>
      <c r="B107" t="s">
        <v>332</v>
      </c>
      <c r="C107" t="s">
        <v>57</v>
      </c>
      <c r="D107">
        <v>1</v>
      </c>
      <c r="E107" t="s">
        <v>105</v>
      </c>
    </row>
    <row r="108" spans="1:5" x14ac:dyDescent="0.25">
      <c r="A108" t="s">
        <v>333</v>
      </c>
      <c r="B108" t="s">
        <v>334</v>
      </c>
      <c r="C108" t="s">
        <v>302</v>
      </c>
      <c r="D108" t="s">
        <v>320</v>
      </c>
      <c r="E108" t="s">
        <v>329</v>
      </c>
    </row>
    <row r="109" spans="1:5" x14ac:dyDescent="0.25">
      <c r="A109" t="s">
        <v>248</v>
      </c>
      <c r="B109" t="s">
        <v>249</v>
      </c>
      <c r="C109" t="s">
        <v>302</v>
      </c>
      <c r="D109">
        <v>2</v>
      </c>
      <c r="E109" t="s">
        <v>105</v>
      </c>
    </row>
    <row r="110" spans="1:5" x14ac:dyDescent="0.25">
      <c r="A110" t="s">
        <v>336</v>
      </c>
      <c r="B110" t="s">
        <v>337</v>
      </c>
      <c r="C110" t="s">
        <v>338</v>
      </c>
      <c r="D110">
        <v>2</v>
      </c>
      <c r="E110" t="s">
        <v>286</v>
      </c>
    </row>
    <row r="111" spans="1:5" hidden="1" x14ac:dyDescent="0.25">
      <c r="A111">
        <v>0</v>
      </c>
      <c r="B111">
        <v>0</v>
      </c>
      <c r="C111">
        <v>0</v>
      </c>
      <c r="D111">
        <v>2</v>
      </c>
      <c r="E111">
        <v>0</v>
      </c>
    </row>
    <row r="112" spans="1:5" hidden="1" x14ac:dyDescent="0.25">
      <c r="A112" t="s">
        <v>1</v>
      </c>
      <c r="B112" t="s">
        <v>340</v>
      </c>
      <c r="C112" t="s">
        <v>3</v>
      </c>
      <c r="D112" t="s">
        <v>15</v>
      </c>
      <c r="E112" t="s">
        <v>12</v>
      </c>
    </row>
    <row r="113" spans="1:5" x14ac:dyDescent="0.25">
      <c r="A113" t="s">
        <v>344</v>
      </c>
      <c r="B113" t="s">
        <v>345</v>
      </c>
      <c r="C113" t="s">
        <v>346</v>
      </c>
      <c r="D113">
        <v>2</v>
      </c>
      <c r="E113" t="s">
        <v>286</v>
      </c>
    </row>
    <row r="114" spans="1:5" x14ac:dyDescent="0.25">
      <c r="A114" t="s">
        <v>170</v>
      </c>
      <c r="B114" t="s">
        <v>347</v>
      </c>
      <c r="C114" t="s">
        <v>348</v>
      </c>
      <c r="D114">
        <v>1</v>
      </c>
      <c r="E114" t="s">
        <v>286</v>
      </c>
    </row>
    <row r="115" spans="1:5" x14ac:dyDescent="0.25">
      <c r="A115" t="s">
        <v>170</v>
      </c>
      <c r="B115" t="s">
        <v>349</v>
      </c>
      <c r="C115" t="s">
        <v>348</v>
      </c>
      <c r="D115">
        <v>1</v>
      </c>
      <c r="E115" t="s">
        <v>105</v>
      </c>
    </row>
    <row r="116" spans="1:5" x14ac:dyDescent="0.25">
      <c r="A116" t="s">
        <v>350</v>
      </c>
      <c r="B116" t="s">
        <v>351</v>
      </c>
      <c r="C116" t="s">
        <v>352</v>
      </c>
      <c r="D116">
        <v>2</v>
      </c>
      <c r="E116" t="s">
        <v>286</v>
      </c>
    </row>
    <row r="117" spans="1:5" hidden="1" x14ac:dyDescent="0.25">
      <c r="A117">
        <v>0</v>
      </c>
      <c r="B117" t="s">
        <v>354</v>
      </c>
      <c r="C117" t="s">
        <v>3</v>
      </c>
      <c r="D117">
        <v>0</v>
      </c>
      <c r="E117">
        <v>0</v>
      </c>
    </row>
    <row r="118" spans="1:5" x14ac:dyDescent="0.25">
      <c r="A118" t="s">
        <v>124</v>
      </c>
      <c r="B118" t="s">
        <v>125</v>
      </c>
      <c r="C118" t="s">
        <v>126</v>
      </c>
      <c r="D118">
        <v>2</v>
      </c>
      <c r="E118" t="s">
        <v>51</v>
      </c>
    </row>
    <row r="119" spans="1:5" x14ac:dyDescent="0.25">
      <c r="A119" t="s">
        <v>136</v>
      </c>
      <c r="B119" t="s">
        <v>137</v>
      </c>
      <c r="C119" t="s">
        <v>133</v>
      </c>
      <c r="D119">
        <v>2</v>
      </c>
      <c r="E119" t="s">
        <v>105</v>
      </c>
    </row>
    <row r="120" spans="1:5" x14ac:dyDescent="0.25">
      <c r="A120" t="s">
        <v>358</v>
      </c>
      <c r="B120" t="s">
        <v>359</v>
      </c>
      <c r="C120" t="s">
        <v>148</v>
      </c>
      <c r="D120">
        <v>1</v>
      </c>
      <c r="E120">
        <v>0</v>
      </c>
    </row>
    <row r="121" spans="1:5" x14ac:dyDescent="0.25">
      <c r="A121" t="s">
        <v>258</v>
      </c>
      <c r="B121" t="s">
        <v>259</v>
      </c>
      <c r="C121" t="s">
        <v>148</v>
      </c>
      <c r="D121">
        <v>1</v>
      </c>
      <c r="E121">
        <v>0</v>
      </c>
    </row>
    <row r="122" spans="1:5" x14ac:dyDescent="0.25">
      <c r="A122" t="s">
        <v>168</v>
      </c>
      <c r="B122" t="s">
        <v>169</v>
      </c>
      <c r="C122" t="s">
        <v>148</v>
      </c>
      <c r="D122">
        <v>2</v>
      </c>
      <c r="E122">
        <v>0</v>
      </c>
    </row>
    <row r="123" spans="1:5" x14ac:dyDescent="0.25">
      <c r="A123" t="s">
        <v>361</v>
      </c>
      <c r="B123" t="s">
        <v>362</v>
      </c>
      <c r="C123" t="s">
        <v>363</v>
      </c>
      <c r="D123">
        <v>2</v>
      </c>
      <c r="E123" t="s">
        <v>364</v>
      </c>
    </row>
    <row r="124" spans="1:5" x14ac:dyDescent="0.25">
      <c r="A124" t="s">
        <v>365</v>
      </c>
      <c r="B124" t="s">
        <v>366</v>
      </c>
      <c r="C124" t="s">
        <v>363</v>
      </c>
      <c r="D124">
        <v>2</v>
      </c>
      <c r="E124" t="s">
        <v>364</v>
      </c>
    </row>
    <row r="125" spans="1:5" hidden="1" x14ac:dyDescent="0.25">
      <c r="A125" t="s">
        <v>1</v>
      </c>
      <c r="B125" t="s">
        <v>368</v>
      </c>
      <c r="C125" t="s">
        <v>3</v>
      </c>
      <c r="D125" t="s">
        <v>15</v>
      </c>
      <c r="E125" t="s">
        <v>12</v>
      </c>
    </row>
    <row r="126" spans="1:5" hidden="1" x14ac:dyDescent="0.25">
      <c r="A126">
        <v>0</v>
      </c>
      <c r="B126" t="s">
        <v>170</v>
      </c>
      <c r="C126" t="s">
        <v>170</v>
      </c>
      <c r="D126">
        <v>2</v>
      </c>
      <c r="E126">
        <v>0</v>
      </c>
    </row>
    <row r="127" spans="1:5" hidden="1" x14ac:dyDescent="0.25">
      <c r="A127">
        <v>0</v>
      </c>
      <c r="B127" t="s">
        <v>373</v>
      </c>
      <c r="C127" t="s">
        <v>3</v>
      </c>
      <c r="D127">
        <v>0</v>
      </c>
      <c r="E127">
        <v>0</v>
      </c>
    </row>
    <row r="128" spans="1:5" x14ac:dyDescent="0.25">
      <c r="A128" t="s">
        <v>376</v>
      </c>
      <c r="B128" t="s">
        <v>377</v>
      </c>
      <c r="C128" t="s">
        <v>378</v>
      </c>
      <c r="D128">
        <v>4</v>
      </c>
      <c r="E128" t="s">
        <v>60</v>
      </c>
    </row>
    <row r="129" spans="1:5" x14ac:dyDescent="0.25">
      <c r="A129" t="s">
        <v>185</v>
      </c>
      <c r="B129" t="s">
        <v>186</v>
      </c>
      <c r="C129" t="s">
        <v>187</v>
      </c>
      <c r="D129">
        <v>4</v>
      </c>
      <c r="E129" t="s">
        <v>379</v>
      </c>
    </row>
    <row r="130" spans="1:5" x14ac:dyDescent="0.25">
      <c r="A130" t="s">
        <v>380</v>
      </c>
      <c r="B130" t="s">
        <v>381</v>
      </c>
      <c r="C130" t="s">
        <v>382</v>
      </c>
      <c r="D130">
        <v>4</v>
      </c>
      <c r="E130" t="s">
        <v>60</v>
      </c>
    </row>
    <row r="131" spans="1:5" x14ac:dyDescent="0.25">
      <c r="A131" t="s">
        <v>383</v>
      </c>
      <c r="B131" t="s">
        <v>384</v>
      </c>
      <c r="C131" t="s">
        <v>385</v>
      </c>
      <c r="D131">
        <v>3</v>
      </c>
      <c r="E131" t="s">
        <v>215</v>
      </c>
    </row>
    <row r="132" spans="1:5" x14ac:dyDescent="0.25">
      <c r="A132" t="s">
        <v>139</v>
      </c>
      <c r="B132" t="s">
        <v>386</v>
      </c>
      <c r="C132" t="s">
        <v>141</v>
      </c>
      <c r="D132">
        <v>2</v>
      </c>
      <c r="E132" t="s">
        <v>105</v>
      </c>
    </row>
    <row r="133" spans="1:5" x14ac:dyDescent="0.25">
      <c r="A133" t="s">
        <v>387</v>
      </c>
      <c r="B133" t="s">
        <v>388</v>
      </c>
      <c r="C133" t="s">
        <v>389</v>
      </c>
      <c r="D133">
        <v>1</v>
      </c>
      <c r="E133" t="s">
        <v>60</v>
      </c>
    </row>
    <row r="134" spans="1:5" x14ac:dyDescent="0.25">
      <c r="A134" t="s">
        <v>390</v>
      </c>
      <c r="B134" t="s">
        <v>391</v>
      </c>
      <c r="C134" t="s">
        <v>389</v>
      </c>
      <c r="D134">
        <v>3</v>
      </c>
      <c r="E134" t="s">
        <v>392</v>
      </c>
    </row>
    <row r="135" spans="1:5" hidden="1" x14ac:dyDescent="0.25">
      <c r="A135" t="s">
        <v>170</v>
      </c>
      <c r="B135">
        <v>0</v>
      </c>
      <c r="C135" t="s">
        <v>352</v>
      </c>
      <c r="D135">
        <v>2</v>
      </c>
      <c r="E135" t="s">
        <v>215</v>
      </c>
    </row>
    <row r="136" spans="1:5" x14ac:dyDescent="0.25">
      <c r="A136" t="s">
        <v>336</v>
      </c>
      <c r="B136" t="s">
        <v>337</v>
      </c>
      <c r="C136" t="s">
        <v>338</v>
      </c>
      <c r="D136">
        <v>2</v>
      </c>
      <c r="E136">
        <v>0</v>
      </c>
    </row>
    <row r="137" spans="1:5" hidden="1" x14ac:dyDescent="0.25">
      <c r="A137">
        <v>0</v>
      </c>
      <c r="B137" t="s">
        <v>395</v>
      </c>
      <c r="C137" t="s">
        <v>3</v>
      </c>
      <c r="D137">
        <v>0</v>
      </c>
      <c r="E137">
        <v>0</v>
      </c>
    </row>
    <row r="138" spans="1:5" x14ac:dyDescent="0.25">
      <c r="A138" t="s">
        <v>160</v>
      </c>
      <c r="B138" t="s">
        <v>161</v>
      </c>
      <c r="C138" t="s">
        <v>399</v>
      </c>
      <c r="D138">
        <v>4</v>
      </c>
      <c r="E138" t="s">
        <v>105</v>
      </c>
    </row>
    <row r="139" spans="1:5" x14ac:dyDescent="0.25">
      <c r="A139" t="s">
        <v>115</v>
      </c>
      <c r="B139" t="s">
        <v>116</v>
      </c>
      <c r="C139" t="s">
        <v>389</v>
      </c>
      <c r="D139">
        <v>2</v>
      </c>
      <c r="E139" t="s">
        <v>89</v>
      </c>
    </row>
    <row r="140" spans="1:5" x14ac:dyDescent="0.25">
      <c r="A140" t="s">
        <v>119</v>
      </c>
      <c r="B140" t="s">
        <v>120</v>
      </c>
      <c r="C140" t="s">
        <v>389</v>
      </c>
      <c r="D140">
        <v>2</v>
      </c>
      <c r="E140" t="s">
        <v>89</v>
      </c>
    </row>
    <row r="141" spans="1:5" x14ac:dyDescent="0.25">
      <c r="A141" t="s">
        <v>36</v>
      </c>
      <c r="B141" t="s">
        <v>400</v>
      </c>
      <c r="C141" t="s">
        <v>38</v>
      </c>
      <c r="D141">
        <v>1</v>
      </c>
      <c r="E141" t="s">
        <v>41</v>
      </c>
    </row>
    <row r="142" spans="1:5" x14ac:dyDescent="0.25">
      <c r="A142" t="s">
        <v>218</v>
      </c>
      <c r="B142" t="s">
        <v>219</v>
      </c>
      <c r="C142" t="s">
        <v>401</v>
      </c>
      <c r="D142">
        <v>2</v>
      </c>
      <c r="E142" t="s">
        <v>402</v>
      </c>
    </row>
    <row r="143" spans="1:5" hidden="1" x14ac:dyDescent="0.25">
      <c r="A143" t="s">
        <v>170</v>
      </c>
      <c r="B143">
        <v>0</v>
      </c>
      <c r="C143">
        <v>0</v>
      </c>
      <c r="D143">
        <v>2</v>
      </c>
      <c r="E143" t="s">
        <v>60</v>
      </c>
    </row>
    <row r="144" spans="1:5" x14ac:dyDescent="0.25">
      <c r="A144" t="s">
        <v>170</v>
      </c>
      <c r="B144" t="s">
        <v>247</v>
      </c>
      <c r="C144">
        <v>0</v>
      </c>
      <c r="D144">
        <v>2</v>
      </c>
      <c r="E144" t="s">
        <v>403</v>
      </c>
    </row>
    <row r="145" spans="1:5" x14ac:dyDescent="0.25">
      <c r="A145" t="s">
        <v>404</v>
      </c>
      <c r="B145" t="s">
        <v>405</v>
      </c>
      <c r="C145" t="s">
        <v>34</v>
      </c>
      <c r="D145">
        <v>2</v>
      </c>
      <c r="E145" t="s">
        <v>406</v>
      </c>
    </row>
    <row r="146" spans="1:5" x14ac:dyDescent="0.25">
      <c r="A146" t="s">
        <v>408</v>
      </c>
      <c r="B146" t="s">
        <v>409</v>
      </c>
      <c r="C146" t="s">
        <v>63</v>
      </c>
      <c r="D146">
        <v>1</v>
      </c>
      <c r="E146" t="s">
        <v>41</v>
      </c>
    </row>
    <row r="147" spans="1:5" x14ac:dyDescent="0.25">
      <c r="A147" t="s">
        <v>410</v>
      </c>
      <c r="B147" t="s">
        <v>411</v>
      </c>
      <c r="C147" t="s">
        <v>412</v>
      </c>
      <c r="D147">
        <v>2</v>
      </c>
      <c r="E147" t="s">
        <v>298</v>
      </c>
    </row>
    <row r="148" spans="1:5" x14ac:dyDescent="0.25">
      <c r="A148" t="s">
        <v>413</v>
      </c>
      <c r="B148" t="s">
        <v>414</v>
      </c>
      <c r="C148" t="s">
        <v>412</v>
      </c>
      <c r="D148">
        <v>2</v>
      </c>
      <c r="E148" t="s">
        <v>415</v>
      </c>
    </row>
    <row r="149" spans="1:5" x14ac:dyDescent="0.25">
      <c r="A149" t="s">
        <v>111</v>
      </c>
      <c r="B149" t="s">
        <v>112</v>
      </c>
      <c r="C149" t="s">
        <v>416</v>
      </c>
      <c r="D149">
        <v>2</v>
      </c>
      <c r="E149" t="s">
        <v>417</v>
      </c>
    </row>
    <row r="150" spans="1:5" x14ac:dyDescent="0.25">
      <c r="A150" t="s">
        <v>106</v>
      </c>
      <c r="B150" t="s">
        <v>107</v>
      </c>
      <c r="C150" t="s">
        <v>418</v>
      </c>
      <c r="D150">
        <v>2</v>
      </c>
      <c r="E150" t="s">
        <v>417</v>
      </c>
    </row>
    <row r="151" spans="1:5" hidden="1" x14ac:dyDescent="0.25">
      <c r="A151">
        <v>0</v>
      </c>
      <c r="B151" t="s">
        <v>420</v>
      </c>
      <c r="C151" t="s">
        <v>3</v>
      </c>
      <c r="D151">
        <v>0</v>
      </c>
      <c r="E151">
        <v>0</v>
      </c>
    </row>
    <row r="152" spans="1:5" x14ac:dyDescent="0.25">
      <c r="A152" t="s">
        <v>171</v>
      </c>
      <c r="B152" t="s">
        <v>172</v>
      </c>
      <c r="C152" t="s">
        <v>148</v>
      </c>
      <c r="D152">
        <v>2</v>
      </c>
      <c r="E152" t="s">
        <v>150</v>
      </c>
    </row>
    <row r="153" spans="1:5" x14ac:dyDescent="0.25">
      <c r="A153" t="s">
        <v>423</v>
      </c>
      <c r="B153" t="s">
        <v>424</v>
      </c>
      <c r="C153" t="s">
        <v>425</v>
      </c>
      <c r="D153">
        <v>2</v>
      </c>
      <c r="E153" t="s">
        <v>60</v>
      </c>
    </row>
    <row r="154" spans="1:5" x14ac:dyDescent="0.25">
      <c r="A154" t="s">
        <v>43</v>
      </c>
      <c r="B154" t="s">
        <v>44</v>
      </c>
      <c r="C154" t="s">
        <v>45</v>
      </c>
      <c r="D154">
        <v>2</v>
      </c>
      <c r="E154" t="s">
        <v>426</v>
      </c>
    </row>
    <row r="155" spans="1:5" x14ac:dyDescent="0.25">
      <c r="A155" t="s">
        <v>387</v>
      </c>
      <c r="B155" t="s">
        <v>388</v>
      </c>
      <c r="C155" t="s">
        <v>389</v>
      </c>
      <c r="D155">
        <v>1</v>
      </c>
      <c r="E155" t="s">
        <v>427</v>
      </c>
    </row>
    <row r="156" spans="1:5" x14ac:dyDescent="0.25">
      <c r="A156" t="s">
        <v>428</v>
      </c>
      <c r="B156" t="s">
        <v>429</v>
      </c>
      <c r="C156" t="s">
        <v>50</v>
      </c>
      <c r="D156">
        <v>2</v>
      </c>
      <c r="E156" t="s">
        <v>417</v>
      </c>
    </row>
    <row r="157" spans="1:5" hidden="1" x14ac:dyDescent="0.25">
      <c r="A157">
        <v>0</v>
      </c>
      <c r="B157" t="s">
        <v>431</v>
      </c>
      <c r="C157" t="s">
        <v>3</v>
      </c>
      <c r="D157">
        <v>0</v>
      </c>
      <c r="E157">
        <v>0</v>
      </c>
    </row>
    <row r="158" spans="1:5" x14ac:dyDescent="0.25">
      <c r="A158" t="s">
        <v>434</v>
      </c>
      <c r="B158" t="s">
        <v>59</v>
      </c>
      <c r="C158" t="s">
        <v>57</v>
      </c>
      <c r="D158">
        <v>2</v>
      </c>
      <c r="E158" t="s">
        <v>60</v>
      </c>
    </row>
    <row r="159" spans="1:5" x14ac:dyDescent="0.25">
      <c r="A159" t="s">
        <v>55</v>
      </c>
      <c r="B159" t="s">
        <v>56</v>
      </c>
      <c r="C159" t="s">
        <v>57</v>
      </c>
      <c r="D159">
        <v>2</v>
      </c>
      <c r="E159" t="s">
        <v>240</v>
      </c>
    </row>
    <row r="160" spans="1:5" x14ac:dyDescent="0.25">
      <c r="A160" t="s">
        <v>436</v>
      </c>
      <c r="B160" t="s">
        <v>437</v>
      </c>
      <c r="C160" t="s">
        <v>308</v>
      </c>
      <c r="D160">
        <v>2</v>
      </c>
      <c r="E160" t="s">
        <v>438</v>
      </c>
    </row>
    <row r="161" spans="1:5" x14ac:dyDescent="0.25">
      <c r="A161" t="s">
        <v>439</v>
      </c>
      <c r="B161" t="s">
        <v>440</v>
      </c>
      <c r="C161" t="s">
        <v>199</v>
      </c>
      <c r="D161" t="s">
        <v>320</v>
      </c>
      <c r="E161" t="s">
        <v>41</v>
      </c>
    </row>
    <row r="162" spans="1:5" x14ac:dyDescent="0.25">
      <c r="A162" t="s">
        <v>442</v>
      </c>
      <c r="B162" t="s">
        <v>443</v>
      </c>
      <c r="C162" t="s">
        <v>184</v>
      </c>
      <c r="D162">
        <v>2</v>
      </c>
      <c r="E162" t="s">
        <v>70</v>
      </c>
    </row>
    <row r="163" spans="1:5" x14ac:dyDescent="0.25">
      <c r="A163" t="s">
        <v>444</v>
      </c>
      <c r="B163" t="s">
        <v>445</v>
      </c>
      <c r="C163" t="s">
        <v>184</v>
      </c>
      <c r="D163" t="s">
        <v>320</v>
      </c>
      <c r="E163" t="s">
        <v>105</v>
      </c>
    </row>
    <row r="164" spans="1:5" x14ac:dyDescent="0.25">
      <c r="A164" t="s">
        <v>288</v>
      </c>
      <c r="B164" t="s">
        <v>289</v>
      </c>
      <c r="C164" t="s">
        <v>330</v>
      </c>
      <c r="D164">
        <v>2</v>
      </c>
      <c r="E164" t="s">
        <v>60</v>
      </c>
    </row>
    <row r="165" spans="1:5" x14ac:dyDescent="0.25">
      <c r="A165" t="s">
        <v>189</v>
      </c>
      <c r="B165" t="s">
        <v>448</v>
      </c>
      <c r="C165" t="s">
        <v>191</v>
      </c>
      <c r="D165" t="s">
        <v>449</v>
      </c>
      <c r="E165" t="s">
        <v>54</v>
      </c>
    </row>
    <row r="166" spans="1:5" x14ac:dyDescent="0.25">
      <c r="A166" t="s">
        <v>193</v>
      </c>
      <c r="B166" t="s">
        <v>450</v>
      </c>
      <c r="C166" t="s">
        <v>191</v>
      </c>
      <c r="D166">
        <v>2</v>
      </c>
      <c r="E166" t="s">
        <v>54</v>
      </c>
    </row>
    <row r="167" spans="1:5" x14ac:dyDescent="0.25">
      <c r="A167" t="s">
        <v>152</v>
      </c>
      <c r="B167" t="s">
        <v>245</v>
      </c>
      <c r="C167" t="s">
        <v>154</v>
      </c>
      <c r="D167">
        <v>2</v>
      </c>
      <c r="E167" t="s">
        <v>325</v>
      </c>
    </row>
    <row r="168" spans="1:5" x14ac:dyDescent="0.25">
      <c r="A168" t="s">
        <v>413</v>
      </c>
      <c r="B168" t="s">
        <v>414</v>
      </c>
      <c r="C168" t="s">
        <v>141</v>
      </c>
      <c r="D168">
        <v>2</v>
      </c>
      <c r="E168" t="s">
        <v>426</v>
      </c>
    </row>
    <row r="169" spans="1:5" x14ac:dyDescent="0.25">
      <c r="A169" t="s">
        <v>61</v>
      </c>
      <c r="B169" t="s">
        <v>62</v>
      </c>
      <c r="C169" t="s">
        <v>63</v>
      </c>
      <c r="D169">
        <v>2</v>
      </c>
      <c r="E169" t="s">
        <v>89</v>
      </c>
    </row>
    <row r="170" spans="1:5" hidden="1" x14ac:dyDescent="0.25">
      <c r="A170" t="s">
        <v>247</v>
      </c>
      <c r="B170">
        <v>0</v>
      </c>
      <c r="C170">
        <v>0</v>
      </c>
      <c r="D170">
        <v>0</v>
      </c>
      <c r="E170" t="s">
        <v>89</v>
      </c>
    </row>
    <row r="171" spans="1:5" hidden="1" x14ac:dyDescent="0.25">
      <c r="A171" t="s">
        <v>452</v>
      </c>
      <c r="B171">
        <v>0</v>
      </c>
      <c r="C171">
        <v>0</v>
      </c>
      <c r="D171">
        <v>0</v>
      </c>
      <c r="E171">
        <v>0</v>
      </c>
    </row>
    <row r="172" spans="1:5" hidden="1" x14ac:dyDescent="0.25">
      <c r="A172">
        <v>0</v>
      </c>
      <c r="B172" t="s">
        <v>455</v>
      </c>
      <c r="C172" t="s">
        <v>3</v>
      </c>
      <c r="D172">
        <v>0</v>
      </c>
      <c r="E172">
        <v>0</v>
      </c>
    </row>
    <row r="173" spans="1:5" x14ac:dyDescent="0.25">
      <c r="A173" t="s">
        <v>121</v>
      </c>
      <c r="B173" t="s">
        <v>122</v>
      </c>
      <c r="C173" t="s">
        <v>458</v>
      </c>
      <c r="D173">
        <v>4</v>
      </c>
      <c r="E173" t="s">
        <v>105</v>
      </c>
    </row>
    <row r="174" spans="1:5" x14ac:dyDescent="0.25">
      <c r="A174" t="s">
        <v>103</v>
      </c>
      <c r="B174" t="s">
        <v>104</v>
      </c>
      <c r="C174" t="s">
        <v>100</v>
      </c>
      <c r="D174">
        <v>3</v>
      </c>
      <c r="E174" t="s">
        <v>265</v>
      </c>
    </row>
    <row r="175" spans="1:5" x14ac:dyDescent="0.25">
      <c r="A175" t="s">
        <v>124</v>
      </c>
      <c r="B175" t="s">
        <v>125</v>
      </c>
      <c r="C175" t="s">
        <v>126</v>
      </c>
      <c r="D175">
        <v>2</v>
      </c>
      <c r="E175" t="s">
        <v>364</v>
      </c>
    </row>
    <row r="176" spans="1:5" x14ac:dyDescent="0.25">
      <c r="A176" t="s">
        <v>128</v>
      </c>
      <c r="B176" t="s">
        <v>129</v>
      </c>
      <c r="C176" t="s">
        <v>126</v>
      </c>
      <c r="D176">
        <v>2</v>
      </c>
      <c r="E176" t="s">
        <v>364</v>
      </c>
    </row>
    <row r="177" spans="1:5" x14ac:dyDescent="0.25">
      <c r="A177" t="s">
        <v>361</v>
      </c>
      <c r="B177" t="s">
        <v>362</v>
      </c>
      <c r="C177" t="s">
        <v>460</v>
      </c>
      <c r="D177">
        <v>2</v>
      </c>
      <c r="E177" t="s">
        <v>215</v>
      </c>
    </row>
    <row r="178" spans="1:5" x14ac:dyDescent="0.25">
      <c r="A178" t="s">
        <v>365</v>
      </c>
      <c r="B178" t="s">
        <v>366</v>
      </c>
      <c r="C178" t="s">
        <v>363</v>
      </c>
      <c r="D178">
        <v>2</v>
      </c>
      <c r="E178" t="s">
        <v>215</v>
      </c>
    </row>
    <row r="179" spans="1:5" x14ac:dyDescent="0.25">
      <c r="A179" t="s">
        <v>216</v>
      </c>
      <c r="B179" t="s">
        <v>217</v>
      </c>
      <c r="C179" t="s">
        <v>214</v>
      </c>
      <c r="D179">
        <v>1</v>
      </c>
      <c r="E179" t="s">
        <v>54</v>
      </c>
    </row>
    <row r="180" spans="1:5" x14ac:dyDescent="0.25">
      <c r="A180" t="s">
        <v>152</v>
      </c>
      <c r="B180" t="s">
        <v>245</v>
      </c>
      <c r="C180" t="s">
        <v>154</v>
      </c>
      <c r="D180">
        <v>2</v>
      </c>
      <c r="E180" t="s">
        <v>188</v>
      </c>
    </row>
    <row r="181" spans="1:5" x14ac:dyDescent="0.25">
      <c r="A181" t="s">
        <v>185</v>
      </c>
      <c r="B181" t="s">
        <v>186</v>
      </c>
      <c r="C181" t="s">
        <v>187</v>
      </c>
      <c r="D181">
        <v>4</v>
      </c>
      <c r="E181" t="s">
        <v>60</v>
      </c>
    </row>
    <row r="182" spans="1:5" x14ac:dyDescent="0.25">
      <c r="A182" t="s">
        <v>261</v>
      </c>
      <c r="B182" t="s">
        <v>262</v>
      </c>
      <c r="C182" t="s">
        <v>148</v>
      </c>
      <c r="D182">
        <v>3</v>
      </c>
      <c r="E182" t="s">
        <v>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232C-936D-4397-9805-34922C813DAF}">
  <sheetPr codeName="Sheet5"/>
  <dimension ref="A1:K157"/>
  <sheetViews>
    <sheetView topLeftCell="A142" workbookViewId="0">
      <selection activeCell="B10" sqref="B10"/>
    </sheetView>
  </sheetViews>
  <sheetFormatPr defaultRowHeight="15" x14ac:dyDescent="0.25"/>
  <cols>
    <col min="1" max="1" width="11.28515625" customWidth="1"/>
    <col min="2" max="2" width="27" bestFit="1" customWidth="1"/>
    <col min="3" max="3" width="91.7109375" bestFit="1" customWidth="1"/>
    <col min="5" max="5" width="14.7109375" customWidth="1"/>
    <col min="6" max="6" width="15.28515625" bestFit="1" customWidth="1"/>
    <col min="7" max="7" width="7.28515625" bestFit="1" customWidth="1"/>
    <col min="8" max="8" width="29.140625" bestFit="1" customWidth="1"/>
    <col min="9" max="9" width="99.28515625" bestFit="1" customWidth="1"/>
    <col min="10" max="10" width="4" bestFit="1" customWidth="1"/>
    <col min="11" max="11" width="52.28515625" bestFit="1" customWidth="1"/>
  </cols>
  <sheetData>
    <row r="1" spans="1:11" x14ac:dyDescent="0.25">
      <c r="A1" s="257" t="s">
        <v>467</v>
      </c>
      <c r="B1" s="257" t="s">
        <v>3</v>
      </c>
      <c r="C1" s="257" t="s">
        <v>466</v>
      </c>
      <c r="D1" s="257" t="s">
        <v>468</v>
      </c>
      <c r="E1" s="257" t="s">
        <v>12</v>
      </c>
      <c r="G1" t="str" cm="1">
        <f t="array" ref="G1:K105">_xlfn.LET(
  _xlpm.data, A2:E200,
  _xlpm.keys, _xlfn.TAKE(_xlpm.data,,4),
  _xlpm.u, _xlfn.UNIQUE(_xlpm.keys),
  _xlpm.agg, _xlfn.BYROW(_xlpm.u, _xlfn.LAMBDA(_xlpm.row,
    _xlfn.TEXTJOIN(", ", TRUE,
      _xlfn.UNIQUE(
        _xlfn._xlws.FILTER(
          INDEX(_xlpm.data,,5),
          (INDEX(_xlpm.keys,,1)=INDEX(_xlpm.row,1))*
          (INDEX(_xlpm.keys,,2)=INDEX(_xlpm.row,2))*
          (INDEX(_xlpm.keys,,3)=INDEX(_xlpm.row,3))*
          (INDEX(_xlpm.keys,,4)=INDEX(_xlpm.row,4))
        )
      )
    )
  )),
  _xlfn.HSTACK(_xlpm.u, _xlpm.agg)
)</f>
        <v>0024D</v>
      </c>
      <c r="H1" t="str">
        <v>Joyce Brown, Thomas McCabe</v>
      </c>
      <c r="I1" t="str">
        <v>A Non-Bootcamp Review of the PMBOK® Guide for Real-World Practitioners</v>
      </c>
      <c r="J1">
        <v>4</v>
      </c>
      <c r="K1" t="str">
        <v>PMBOK</v>
      </c>
    </row>
    <row r="2" spans="1:11" x14ac:dyDescent="0.25">
      <c r="A2" s="258" t="s">
        <v>294</v>
      </c>
      <c r="B2" s="258" t="s">
        <v>76</v>
      </c>
      <c r="C2" s="258" t="s">
        <v>295</v>
      </c>
      <c r="D2" s="258">
        <v>4</v>
      </c>
      <c r="E2" s="258" t="s">
        <v>296</v>
      </c>
      <c r="G2" t="str">
        <v>0032D</v>
      </c>
      <c r="H2" t="str">
        <v>Lisa Hammer, David Newman</v>
      </c>
      <c r="I2" t="str">
        <v>Adapt, Adopt, and Accomplish for Project Management Success</v>
      </c>
      <c r="J2">
        <v>2</v>
      </c>
      <c r="K2" t="str">
        <v>PM Skills, Project Success, Leadership</v>
      </c>
    </row>
    <row r="3" spans="1:11" x14ac:dyDescent="0.25">
      <c r="A3" s="258" t="s">
        <v>139</v>
      </c>
      <c r="B3" s="258" t="s">
        <v>141</v>
      </c>
      <c r="C3" s="258" t="s">
        <v>140</v>
      </c>
      <c r="D3" s="258">
        <v>2</v>
      </c>
      <c r="E3" s="258" t="s">
        <v>105</v>
      </c>
      <c r="G3" t="str">
        <v>0082D</v>
      </c>
      <c r="H3" t="str">
        <v>Lisa Hammer, David Newman</v>
      </c>
      <c r="I3" t="str">
        <v>Agile Fundamentals: Delivering Value</v>
      </c>
      <c r="J3">
        <v>2</v>
      </c>
      <c r="K3" t="str">
        <v>PM Skills, Agile</v>
      </c>
    </row>
    <row r="4" spans="1:11" x14ac:dyDescent="0.25">
      <c r="A4" s="258" t="s">
        <v>139</v>
      </c>
      <c r="B4" s="258" t="s">
        <v>141</v>
      </c>
      <c r="C4" s="258" t="s">
        <v>140</v>
      </c>
      <c r="D4" s="258">
        <v>2</v>
      </c>
      <c r="E4" s="258" t="s">
        <v>240</v>
      </c>
      <c r="G4" t="str">
        <v>0102D</v>
      </c>
      <c r="H4" t="str">
        <v>Mohamed Khalifa</v>
      </c>
      <c r="I4" t="str">
        <v>Aligning the Organization Through Portfolio Management</v>
      </c>
      <c r="J4">
        <v>2</v>
      </c>
      <c r="K4" t="str">
        <v>PMO</v>
      </c>
    </row>
    <row r="5" spans="1:11" x14ac:dyDescent="0.25">
      <c r="A5" s="258" t="s">
        <v>139</v>
      </c>
      <c r="B5" s="258" t="s">
        <v>141</v>
      </c>
      <c r="C5" s="258" t="s">
        <v>140</v>
      </c>
      <c r="D5" s="258">
        <v>2</v>
      </c>
      <c r="E5" s="258" t="s">
        <v>54</v>
      </c>
      <c r="G5" t="str">
        <v>0132D</v>
      </c>
      <c r="H5" t="str">
        <v>Kristy Tan Neckowicz</v>
      </c>
      <c r="I5" t="str">
        <v>Build High-Performing Teams: Communicate, Motivate, Excel</v>
      </c>
      <c r="J5">
        <v>2</v>
      </c>
      <c r="K5" t="str">
        <v>Soft Skills, PM SKills</v>
      </c>
    </row>
    <row r="6" spans="1:11" x14ac:dyDescent="0.25">
      <c r="A6" s="258" t="s">
        <v>139</v>
      </c>
      <c r="B6" s="258" t="s">
        <v>141</v>
      </c>
      <c r="C6" s="258" t="s">
        <v>140</v>
      </c>
      <c r="D6" s="258">
        <v>2</v>
      </c>
      <c r="E6" s="258" t="s">
        <v>105</v>
      </c>
      <c r="G6" t="str">
        <v>0182D</v>
      </c>
      <c r="H6" t="str">
        <v>Klaus Nielsen</v>
      </c>
      <c r="I6" t="str">
        <v>Business Case—Best Practices for Success</v>
      </c>
      <c r="J6">
        <v>2</v>
      </c>
      <c r="K6" t="str">
        <v>Enterprise, Project Success</v>
      </c>
    </row>
    <row r="7" spans="1:11" x14ac:dyDescent="0.25">
      <c r="A7" s="258" t="s">
        <v>143</v>
      </c>
      <c r="B7" s="258" t="s">
        <v>141</v>
      </c>
      <c r="C7" s="258" t="s">
        <v>144</v>
      </c>
      <c r="D7" s="258">
        <v>2</v>
      </c>
      <c r="E7" s="258" t="s">
        <v>105</v>
      </c>
      <c r="G7" t="str">
        <v>0182D</v>
      </c>
      <c r="H7" t="str">
        <v>Klaus Nielsen</v>
      </c>
      <c r="I7" t="str">
        <v>Mastering Project Management Principles</v>
      </c>
      <c r="J7">
        <v>2</v>
      </c>
      <c r="K7" t="str">
        <v>PMO</v>
      </c>
    </row>
    <row r="8" spans="1:11" x14ac:dyDescent="0.25">
      <c r="A8" s="258" t="s">
        <v>143</v>
      </c>
      <c r="B8" s="258" t="s">
        <v>141</v>
      </c>
      <c r="C8" s="258" t="s">
        <v>144</v>
      </c>
      <c r="D8" s="258">
        <v>2</v>
      </c>
      <c r="E8" s="258" t="s">
        <v>215</v>
      </c>
      <c r="G8" t="str">
        <v>0192D</v>
      </c>
      <c r="H8" t="str">
        <v>Iain Fraser</v>
      </c>
      <c r="I8" t="str">
        <v>Change Management: Navigate the Future</v>
      </c>
      <c r="J8">
        <v>2</v>
      </c>
      <c r="K8" t="str">
        <v>Leadership, Change Mgmt, BA</v>
      </c>
    </row>
    <row r="9" spans="1:11" x14ac:dyDescent="0.25">
      <c r="A9" s="258" t="s">
        <v>326</v>
      </c>
      <c r="B9" s="258" t="s">
        <v>328</v>
      </c>
      <c r="C9" s="258" t="s">
        <v>327</v>
      </c>
      <c r="D9" s="258">
        <v>2</v>
      </c>
      <c r="E9" s="258" t="s">
        <v>60</v>
      </c>
      <c r="G9" t="str">
        <v>0282D</v>
      </c>
      <c r="H9" t="str">
        <v>Hammer and Newman</v>
      </c>
      <c r="I9" t="str">
        <v>Creative Problem-Solving: Think Beyond the Linear</v>
      </c>
      <c r="J9">
        <v>2</v>
      </c>
      <c r="K9" t="str">
        <v>Softskils</v>
      </c>
    </row>
    <row r="10" spans="1:11" x14ac:dyDescent="0.25">
      <c r="A10" s="258" t="s">
        <v>43</v>
      </c>
      <c r="B10" s="258" t="s">
        <v>45</v>
      </c>
      <c r="C10" s="258" t="s">
        <v>44</v>
      </c>
      <c r="D10" s="258">
        <v>2</v>
      </c>
      <c r="E10" s="258" t="s">
        <v>47</v>
      </c>
      <c r="G10" t="str">
        <v>0282D</v>
      </c>
      <c r="H10" t="str">
        <v>Lisa Hammer, David Newman</v>
      </c>
      <c r="I10" t="str">
        <v>Creative Problem-Solving: Think Beyond the Linear</v>
      </c>
      <c r="J10">
        <v>2</v>
      </c>
      <c r="K10" t="str">
        <v>PM SKills</v>
      </c>
    </row>
    <row r="11" spans="1:11" x14ac:dyDescent="0.25">
      <c r="A11" s="258" t="s">
        <v>43</v>
      </c>
      <c r="B11" s="258" t="s">
        <v>45</v>
      </c>
      <c r="C11" s="258" t="s">
        <v>44</v>
      </c>
      <c r="D11" s="258">
        <v>2</v>
      </c>
      <c r="E11" s="258" t="s">
        <v>426</v>
      </c>
      <c r="G11" t="str">
        <v>0342D</v>
      </c>
      <c r="H11" t="str">
        <v>Traci Duez</v>
      </c>
      <c r="I11" t="str">
        <v>Developing Your EQ to RISE (Reach, Inspire, Serve, and Engage)</v>
      </c>
      <c r="J11">
        <v>2</v>
      </c>
      <c r="K11" t="str">
        <v>Soft Skills, Softskills, EI</v>
      </c>
    </row>
    <row r="12" spans="1:11" x14ac:dyDescent="0.25">
      <c r="A12" s="258" t="s">
        <v>55</v>
      </c>
      <c r="B12" s="258" t="s">
        <v>57</v>
      </c>
      <c r="C12" s="258" t="s">
        <v>56</v>
      </c>
      <c r="D12" s="258">
        <v>2</v>
      </c>
      <c r="E12" s="258" t="s">
        <v>58</v>
      </c>
      <c r="G12" t="str">
        <v>0342D</v>
      </c>
      <c r="H12" t="str">
        <v>Traci Duez</v>
      </c>
      <c r="I12" t="str">
        <v xml:space="preserve">Developing Your EQ to RISE (Reach, Inspire, Serve, and Engage) (Beyond Boss Mode from Control to co-elevation) </v>
      </c>
      <c r="J12">
        <v>2</v>
      </c>
      <c r="K12" t="str">
        <v>Communication</v>
      </c>
    </row>
    <row r="13" spans="1:11" x14ac:dyDescent="0.25">
      <c r="A13" s="258" t="s">
        <v>55</v>
      </c>
      <c r="B13" s="258" t="s">
        <v>57</v>
      </c>
      <c r="C13" s="258" t="s">
        <v>56</v>
      </c>
      <c r="D13" s="258">
        <v>2</v>
      </c>
      <c r="E13" s="258" t="s">
        <v>240</v>
      </c>
      <c r="G13" t="str">
        <v>0372D</v>
      </c>
      <c r="H13" t="str">
        <v>NK Shrivastava</v>
      </c>
      <c r="I13" t="str">
        <v>Hybrid Agility: Blend Traditional and Adaptive Methods</v>
      </c>
      <c r="J13">
        <v>2</v>
      </c>
      <c r="K13" t="str">
        <v>AGILE, 0</v>
      </c>
    </row>
    <row r="14" spans="1:11" x14ac:dyDescent="0.25">
      <c r="A14" s="258" t="s">
        <v>55</v>
      </c>
      <c r="B14" s="258" t="s">
        <v>57</v>
      </c>
      <c r="C14" s="258" t="s">
        <v>59</v>
      </c>
      <c r="D14" s="258">
        <v>2</v>
      </c>
      <c r="E14" s="258" t="s">
        <v>60</v>
      </c>
      <c r="G14" t="str">
        <v>0402D</v>
      </c>
      <c r="H14" t="str">
        <v>Jeff Panning</v>
      </c>
      <c r="I14" t="str">
        <v>How to Capture Customer Requirements and Develop Project Scope</v>
      </c>
      <c r="J14">
        <v>2</v>
      </c>
      <c r="K14" t="str">
        <v>Project, PM Skills, PM Skills , Power Skills</v>
      </c>
    </row>
    <row r="15" spans="1:11" x14ac:dyDescent="0.25">
      <c r="A15" s="258" t="s">
        <v>124</v>
      </c>
      <c r="B15" s="258" t="s">
        <v>126</v>
      </c>
      <c r="C15" s="258" t="s">
        <v>125</v>
      </c>
      <c r="D15" s="258">
        <v>2</v>
      </c>
      <c r="E15" s="258" t="s">
        <v>54</v>
      </c>
      <c r="G15" t="str">
        <v>0422D</v>
      </c>
      <c r="H15" t="str">
        <v>Kandis Porter</v>
      </c>
      <c r="I15" t="str">
        <v>How to Think Strategically and Apply Business Acumen</v>
      </c>
      <c r="J15">
        <v>2</v>
      </c>
      <c r="K15" t="str">
        <v>Enterprise, Power Skills</v>
      </c>
    </row>
    <row r="16" spans="1:11" x14ac:dyDescent="0.25">
      <c r="A16" s="258" t="s">
        <v>124</v>
      </c>
      <c r="B16" s="258" t="s">
        <v>126</v>
      </c>
      <c r="C16" s="258" t="s">
        <v>125</v>
      </c>
      <c r="D16" s="258">
        <v>2</v>
      </c>
      <c r="E16" s="258" t="s">
        <v>51</v>
      </c>
      <c r="G16" t="str">
        <v>0432D</v>
      </c>
      <c r="H16" t="str">
        <v>Joseph Reed</v>
      </c>
      <c r="I16" t="str">
        <v>Influencing Without Authority</v>
      </c>
      <c r="J16">
        <v>2</v>
      </c>
      <c r="K16" t="str">
        <v>Leadership</v>
      </c>
    </row>
    <row r="17" spans="1:11" x14ac:dyDescent="0.25">
      <c r="A17" s="258" t="s">
        <v>124</v>
      </c>
      <c r="B17" s="258" t="s">
        <v>126</v>
      </c>
      <c r="C17" s="258" t="s">
        <v>125</v>
      </c>
      <c r="D17" s="258">
        <v>2</v>
      </c>
      <c r="E17" s="258" t="s">
        <v>364</v>
      </c>
      <c r="G17" t="str">
        <v>0482D</v>
      </c>
      <c r="H17" t="str">
        <v>Greg Githens</v>
      </c>
      <c r="I17" t="str">
        <v>Leading Strategic Initiatives (Program Management)</v>
      </c>
      <c r="J17">
        <v>2</v>
      </c>
      <c r="K17" t="str">
        <v>Program Mgmt, PMO</v>
      </c>
    </row>
    <row r="18" spans="1:11" x14ac:dyDescent="0.25">
      <c r="A18" s="258" t="s">
        <v>413</v>
      </c>
      <c r="B18" s="258" t="s">
        <v>412</v>
      </c>
      <c r="C18" s="258" t="s">
        <v>414</v>
      </c>
      <c r="D18" s="258">
        <v>2</v>
      </c>
      <c r="E18" s="258" t="s">
        <v>415</v>
      </c>
      <c r="G18" t="str">
        <v>0541D</v>
      </c>
      <c r="H18" t="str">
        <v>Thomas Jarocki</v>
      </c>
      <c r="I18" t="str">
        <v>Managing the Human Side of Projects</v>
      </c>
      <c r="J18">
        <v>1</v>
      </c>
      <c r="K18" t="str">
        <v>Project, Leadership, Change Mgmt</v>
      </c>
    </row>
    <row r="19" spans="1:11" x14ac:dyDescent="0.25">
      <c r="A19" s="258" t="s">
        <v>413</v>
      </c>
      <c r="B19" s="258" t="s">
        <v>141</v>
      </c>
      <c r="C19" s="258" t="s">
        <v>414</v>
      </c>
      <c r="D19" s="258">
        <v>2</v>
      </c>
      <c r="E19" s="258" t="s">
        <v>426</v>
      </c>
      <c r="G19" t="str">
        <v>0552D</v>
      </c>
      <c r="H19" t="str">
        <v>Brad Bigelow</v>
      </c>
      <c r="I19" t="str">
        <v>Scope Management Secrets</v>
      </c>
      <c r="J19">
        <v>2</v>
      </c>
      <c r="K19" t="str">
        <v>PM Skills</v>
      </c>
    </row>
    <row r="20" spans="1:11" x14ac:dyDescent="0.25">
      <c r="A20" s="258" t="s">
        <v>152</v>
      </c>
      <c r="B20" s="258" t="s">
        <v>154</v>
      </c>
      <c r="C20" s="258" t="s">
        <v>245</v>
      </c>
      <c r="D20" s="258">
        <v>2</v>
      </c>
      <c r="E20" s="258" t="s">
        <v>47</v>
      </c>
      <c r="G20" t="str">
        <v>0562D</v>
      </c>
      <c r="H20" t="str">
        <v>Iain Fraser</v>
      </c>
      <c r="I20" t="str">
        <v>Value Management – Designed, Built, and Operationalized for Success</v>
      </c>
      <c r="J20">
        <v>2</v>
      </c>
      <c r="K20" t="str">
        <v>PM Skills, BA</v>
      </c>
    </row>
    <row r="21" spans="1:11" x14ac:dyDescent="0.25">
      <c r="A21" s="258" t="s">
        <v>152</v>
      </c>
      <c r="B21" s="258" t="s">
        <v>154</v>
      </c>
      <c r="C21" s="258" t="s">
        <v>245</v>
      </c>
      <c r="D21" s="258">
        <v>2</v>
      </c>
      <c r="E21" s="258" t="s">
        <v>325</v>
      </c>
      <c r="G21" t="str">
        <v>0582D</v>
      </c>
      <c r="H21" t="str">
        <v>Scott Burd</v>
      </c>
      <c r="I21" t="str">
        <v>Measure What Matters: Track Benefits Realization</v>
      </c>
      <c r="J21">
        <v>2</v>
      </c>
      <c r="K21" t="str">
        <v xml:space="preserve">PM Skills, PM Skills </v>
      </c>
    </row>
    <row r="22" spans="1:11" x14ac:dyDescent="0.25">
      <c r="A22" s="258" t="s">
        <v>152</v>
      </c>
      <c r="B22" s="258" t="s">
        <v>154</v>
      </c>
      <c r="C22" s="258" t="s">
        <v>245</v>
      </c>
      <c r="D22" s="258">
        <v>2</v>
      </c>
      <c r="E22" s="258" t="s">
        <v>188</v>
      </c>
      <c r="G22" t="str">
        <v>0612D</v>
      </c>
      <c r="H22" t="str">
        <v>Vijay Verma</v>
      </c>
      <c r="I22" t="str">
        <v>Negotiate to Win: Build Partnerships, Secure Resources</v>
      </c>
      <c r="J22">
        <v>2</v>
      </c>
      <c r="K22" t="str">
        <v>Leadership</v>
      </c>
    </row>
    <row r="23" spans="1:11" x14ac:dyDescent="0.25">
      <c r="A23" s="258" t="s">
        <v>152</v>
      </c>
      <c r="B23" s="258" t="s">
        <v>154</v>
      </c>
      <c r="C23" s="258" t="s">
        <v>153</v>
      </c>
      <c r="D23" s="258">
        <v>2</v>
      </c>
      <c r="E23" s="258" t="s">
        <v>155</v>
      </c>
      <c r="G23" t="str">
        <v>0621D</v>
      </c>
      <c r="H23" t="str">
        <v>Jack Duggal</v>
      </c>
      <c r="I23" t="str">
        <v>Lead Through Uncertainty: Next-Gen Communication Skills</v>
      </c>
      <c r="J23">
        <v>1</v>
      </c>
      <c r="K23" t="str">
        <v>Leadership</v>
      </c>
    </row>
    <row r="24" spans="1:11" x14ac:dyDescent="0.25">
      <c r="A24" s="258" t="s">
        <v>336</v>
      </c>
      <c r="B24" s="258" t="s">
        <v>338</v>
      </c>
      <c r="C24" s="258" t="s">
        <v>337</v>
      </c>
      <c r="D24" s="258">
        <v>2</v>
      </c>
      <c r="E24" s="258" t="s">
        <v>286</v>
      </c>
      <c r="G24" t="str">
        <v>0643D</v>
      </c>
      <c r="H24" t="str">
        <v>Thomas Jarocki</v>
      </c>
      <c r="I24" t="str">
        <v>Orchestrate Total Success: People, Projects, Change</v>
      </c>
      <c r="J24">
        <v>3</v>
      </c>
      <c r="K24" t="str">
        <v>PM Skills, Project Success, Project Skills, Business Acumen</v>
      </c>
    </row>
    <row r="25" spans="1:11" x14ac:dyDescent="0.25">
      <c r="A25" s="258" t="s">
        <v>336</v>
      </c>
      <c r="B25" s="258" t="s">
        <v>338</v>
      </c>
      <c r="C25" s="258" t="s">
        <v>337</v>
      </c>
      <c r="D25" s="258">
        <v>2</v>
      </c>
      <c r="E25" s="258">
        <v>0</v>
      </c>
      <c r="G25" t="str">
        <v>0672D</v>
      </c>
      <c r="H25" t="str">
        <v>Brad Malone</v>
      </c>
      <c r="I25" t="str">
        <v>Proactive Risk Management</v>
      </c>
      <c r="J25">
        <v>2</v>
      </c>
      <c r="K25" t="str">
        <v>RISK</v>
      </c>
    </row>
    <row r="26" spans="1:11" x14ac:dyDescent="0.25">
      <c r="A26" s="258" t="s">
        <v>111</v>
      </c>
      <c r="B26" s="258" t="s">
        <v>416</v>
      </c>
      <c r="C26" s="258" t="s">
        <v>112</v>
      </c>
      <c r="D26" s="258">
        <v>2</v>
      </c>
      <c r="E26" s="258" t="s">
        <v>102</v>
      </c>
      <c r="G26" t="str">
        <v>0682D</v>
      </c>
      <c r="H26" t="str">
        <v>Michel Thiry</v>
      </c>
      <c r="I26" t="str">
        <v>Program Management Adaptive Practices</v>
      </c>
      <c r="J26">
        <v>2</v>
      </c>
      <c r="K26" t="str">
        <v>PMO</v>
      </c>
    </row>
    <row r="27" spans="1:11" x14ac:dyDescent="0.25">
      <c r="A27" s="258" t="s">
        <v>111</v>
      </c>
      <c r="B27" s="258" t="s">
        <v>416</v>
      </c>
      <c r="C27" s="258" t="s">
        <v>112</v>
      </c>
      <c r="D27" s="258">
        <v>2</v>
      </c>
      <c r="E27" s="258" t="s">
        <v>105</v>
      </c>
      <c r="G27" t="str">
        <v>0694D</v>
      </c>
      <c r="H27" t="str">
        <v>Michel Thiry</v>
      </c>
      <c r="I27" t="str">
        <v>Program Management Master Class</v>
      </c>
      <c r="J27">
        <v>4</v>
      </c>
      <c r="K27" t="str">
        <v xml:space="preserve">PMO, PM Skills </v>
      </c>
    </row>
    <row r="28" spans="1:11" x14ac:dyDescent="0.25">
      <c r="A28" s="258" t="s">
        <v>111</v>
      </c>
      <c r="B28" s="258" t="s">
        <v>416</v>
      </c>
      <c r="C28" s="258" t="s">
        <v>112</v>
      </c>
      <c r="D28" s="258">
        <v>2</v>
      </c>
      <c r="E28" s="258" t="s">
        <v>285</v>
      </c>
      <c r="G28" t="str">
        <v>0694D</v>
      </c>
      <c r="H28" t="str">
        <v>Michel Thiry or Greg Martinez</v>
      </c>
      <c r="I28" t="str">
        <v>Program Management Master Class</v>
      </c>
      <c r="J28">
        <v>4</v>
      </c>
      <c r="K28" t="str">
        <v>PM Skills</v>
      </c>
    </row>
    <row r="29" spans="1:11" x14ac:dyDescent="0.25">
      <c r="A29" s="258" t="s">
        <v>111</v>
      </c>
      <c r="B29" s="258" t="s">
        <v>416</v>
      </c>
      <c r="C29" s="258" t="s">
        <v>112</v>
      </c>
      <c r="D29" s="258">
        <v>2</v>
      </c>
      <c r="E29" s="258" t="s">
        <v>417</v>
      </c>
      <c r="G29" t="str">
        <v>0724D</v>
      </c>
      <c r="H29" t="str">
        <v>Brad Malone</v>
      </c>
      <c r="I29" t="str">
        <v>From PMBOK® to Practice: Building Your PM Competency Foundation</v>
      </c>
      <c r="J29">
        <v>4</v>
      </c>
      <c r="K29" t="str">
        <v>RISK</v>
      </c>
    </row>
    <row r="30" spans="1:11" x14ac:dyDescent="0.25">
      <c r="A30" s="258" t="s">
        <v>106</v>
      </c>
      <c r="B30" s="258" t="s">
        <v>418</v>
      </c>
      <c r="C30" s="258" t="s">
        <v>107</v>
      </c>
      <c r="D30" s="258">
        <v>2</v>
      </c>
      <c r="E30" s="258" t="s">
        <v>58</v>
      </c>
      <c r="G30" t="str">
        <v>0742D</v>
      </c>
      <c r="H30" t="str">
        <v>April Callis-Birchmeier</v>
      </c>
      <c r="I30" t="str">
        <v>Change Acceleration: Simplify and Succeed</v>
      </c>
      <c r="J30">
        <v>2</v>
      </c>
      <c r="K30" t="str">
        <v>Business Acumen, softskills</v>
      </c>
    </row>
    <row r="31" spans="1:11" x14ac:dyDescent="0.25">
      <c r="A31" s="258" t="s">
        <v>106</v>
      </c>
      <c r="B31" s="258" t="s">
        <v>418</v>
      </c>
      <c r="C31" s="258" t="s">
        <v>107</v>
      </c>
      <c r="D31" s="258">
        <v>2</v>
      </c>
      <c r="E31" s="258" t="s">
        <v>417</v>
      </c>
      <c r="G31" t="str">
        <v>0784H</v>
      </c>
      <c r="H31" t="str">
        <v>Teresa Lawrence</v>
      </c>
      <c r="I31" t="str">
        <v>Solve the Problem, Not the Symptom</v>
      </c>
      <c r="J31">
        <v>0.5</v>
      </c>
      <c r="K31" t="str">
        <v>soft skills</v>
      </c>
    </row>
    <row r="32" spans="1:11" x14ac:dyDescent="0.25">
      <c r="A32" s="258" t="s">
        <v>193</v>
      </c>
      <c r="B32" s="258" t="s">
        <v>191</v>
      </c>
      <c r="C32" s="258" t="s">
        <v>450</v>
      </c>
      <c r="D32" s="258">
        <v>2</v>
      </c>
      <c r="E32" s="258" t="s">
        <v>54</v>
      </c>
      <c r="G32" t="str">
        <v>0823D</v>
      </c>
      <c r="H32" t="str">
        <v>Joyce Brown, Thomas McCabe</v>
      </c>
      <c r="I32" t="str">
        <v>Strategic Portfolio Management</v>
      </c>
      <c r="J32">
        <v>3</v>
      </c>
      <c r="K32" t="str">
        <v>PMO</v>
      </c>
    </row>
    <row r="33" spans="1:11" x14ac:dyDescent="0.25">
      <c r="A33" s="258" t="s">
        <v>193</v>
      </c>
      <c r="B33" s="258" t="s">
        <v>191</v>
      </c>
      <c r="C33" s="258" t="s">
        <v>450</v>
      </c>
      <c r="D33" s="258">
        <v>2</v>
      </c>
      <c r="E33" s="258" t="s">
        <v>54</v>
      </c>
      <c r="G33" t="str">
        <v>0872D</v>
      </c>
      <c r="H33" t="str">
        <v>Drew Clark</v>
      </c>
      <c r="I33" t="str">
        <v>Drive Digital Transformation at Scale</v>
      </c>
      <c r="J33">
        <v>2</v>
      </c>
      <c r="K33" t="str">
        <v>Agile</v>
      </c>
    </row>
    <row r="34" spans="1:11" x14ac:dyDescent="0.25">
      <c r="A34" s="258" t="s">
        <v>288</v>
      </c>
      <c r="B34" s="258" t="s">
        <v>290</v>
      </c>
      <c r="C34" s="258" t="s">
        <v>289</v>
      </c>
      <c r="D34" s="258">
        <v>2</v>
      </c>
      <c r="E34" s="258" t="s">
        <v>291</v>
      </c>
      <c r="G34" t="str">
        <v>0904D</v>
      </c>
      <c r="H34" t="str">
        <v>Eric Foss</v>
      </c>
      <c r="I34" t="str">
        <v>Evolve Your PMO</v>
      </c>
      <c r="J34">
        <v>4</v>
      </c>
      <c r="K34" t="str">
        <v>PMO</v>
      </c>
    </row>
    <row r="35" spans="1:11" x14ac:dyDescent="0.25">
      <c r="A35" s="258" t="s">
        <v>288</v>
      </c>
      <c r="B35" s="258" t="s">
        <v>290</v>
      </c>
      <c r="C35" s="258" t="s">
        <v>289</v>
      </c>
      <c r="D35" s="258">
        <v>2</v>
      </c>
      <c r="E35" s="258" t="s">
        <v>291</v>
      </c>
      <c r="G35" t="str">
        <v>0951D</v>
      </c>
      <c r="H35" t="str">
        <v>Drew Clark</v>
      </c>
      <c r="I35" t="str">
        <v>Agile Leadership for Digital Transformation</v>
      </c>
      <c r="J35">
        <v>1</v>
      </c>
      <c r="K35" t="str">
        <v>Agile, Leadership</v>
      </c>
    </row>
    <row r="36" spans="1:11" x14ac:dyDescent="0.25">
      <c r="A36" s="258" t="s">
        <v>288</v>
      </c>
      <c r="B36" s="258" t="s">
        <v>290</v>
      </c>
      <c r="C36" s="258" t="s">
        <v>289</v>
      </c>
      <c r="D36" s="258">
        <v>2</v>
      </c>
      <c r="E36" s="258" t="s">
        <v>60</v>
      </c>
      <c r="G36" t="str">
        <v>1022D</v>
      </c>
      <c r="H36" t="str">
        <v>Traci Duez</v>
      </c>
      <c r="I36" t="str">
        <v>Leadership Brilliance: Unlock Your Confidence and Courage</v>
      </c>
      <c r="J36">
        <v>2</v>
      </c>
      <c r="K36" t="str">
        <v>Leadership</v>
      </c>
    </row>
    <row r="37" spans="1:11" x14ac:dyDescent="0.25">
      <c r="A37" s="258" t="s">
        <v>98</v>
      </c>
      <c r="B37" s="258" t="s">
        <v>100</v>
      </c>
      <c r="C37" s="258" t="s">
        <v>99</v>
      </c>
      <c r="D37" s="258">
        <v>1</v>
      </c>
      <c r="E37" s="258" t="s">
        <v>102</v>
      </c>
      <c r="G37" t="str">
        <v>1042D</v>
      </c>
      <c r="H37" t="str">
        <v>Teresa Lawrence</v>
      </c>
      <c r="I37" t="str">
        <v>PM Tools &amp; Techniques: Facilitate Creative Solutions</v>
      </c>
      <c r="J37">
        <v>2</v>
      </c>
      <c r="K37" t="str">
        <v>PM Skills , PM Skills, soft skills</v>
      </c>
    </row>
    <row r="38" spans="1:11" x14ac:dyDescent="0.25">
      <c r="A38" s="258" t="s">
        <v>98</v>
      </c>
      <c r="B38" s="258" t="s">
        <v>100</v>
      </c>
      <c r="C38" s="258" t="s">
        <v>99</v>
      </c>
      <c r="D38" s="258">
        <v>1</v>
      </c>
      <c r="E38" s="258" t="s">
        <v>54</v>
      </c>
      <c r="G38" t="str">
        <v>1074H</v>
      </c>
      <c r="H38" t="str">
        <v>Kathy Mendias</v>
      </c>
      <c r="I38" t="str">
        <v xml:space="preserve">  Communication GPS: Keep Your Project on Track</v>
      </c>
      <c r="J38">
        <v>0.5</v>
      </c>
      <c r="K38" t="str">
        <v xml:space="preserve">PM Skills </v>
      </c>
    </row>
    <row r="39" spans="1:11" x14ac:dyDescent="0.25">
      <c r="A39" s="258" t="s">
        <v>98</v>
      </c>
      <c r="B39" s="258" t="s">
        <v>100</v>
      </c>
      <c r="C39" s="258" t="s">
        <v>99</v>
      </c>
      <c r="D39" s="258">
        <v>1</v>
      </c>
      <c r="E39" s="258" t="s">
        <v>51</v>
      </c>
      <c r="G39" t="str">
        <v>1074H</v>
      </c>
      <c r="H39" t="str">
        <v>Kathy Mendias</v>
      </c>
      <c r="I39" t="str">
        <v>Communication GPS: Keep Your Project on Track</v>
      </c>
      <c r="J39">
        <v>0.5</v>
      </c>
      <c r="K39" t="str">
        <v>Soft Skills</v>
      </c>
    </row>
    <row r="40" spans="1:11" x14ac:dyDescent="0.25">
      <c r="A40" s="258" t="s">
        <v>303</v>
      </c>
      <c r="B40" s="258" t="s">
        <v>305</v>
      </c>
      <c r="C40" s="258" t="s">
        <v>304</v>
      </c>
      <c r="D40" s="258">
        <v>2</v>
      </c>
      <c r="E40" s="258" t="s">
        <v>105</v>
      </c>
      <c r="G40" t="str">
        <v>1091D</v>
      </c>
      <c r="H40" t="str">
        <v>Greta Blash</v>
      </c>
      <c r="I40" t="str">
        <v>Business Analysis Strategies: Enable Project Success</v>
      </c>
      <c r="J40">
        <v>1</v>
      </c>
      <c r="K40" t="str">
        <v>PM Skills</v>
      </c>
    </row>
    <row r="41" spans="1:11" x14ac:dyDescent="0.25">
      <c r="A41" s="258" t="s">
        <v>128</v>
      </c>
      <c r="B41" s="258" t="s">
        <v>126</v>
      </c>
      <c r="C41" s="258" t="s">
        <v>129</v>
      </c>
      <c r="D41" s="258">
        <v>2</v>
      </c>
      <c r="E41" s="258" t="s">
        <v>105</v>
      </c>
      <c r="G41" t="str">
        <v>1101D</v>
      </c>
      <c r="H41" t="str">
        <v>Greta Blash</v>
      </c>
      <c r="I41" t="str">
        <v>Hybrid Project Management: The Best of Both Worlds</v>
      </c>
      <c r="J41">
        <v>1</v>
      </c>
      <c r="K41" t="str">
        <v>PM Skills</v>
      </c>
    </row>
    <row r="42" spans="1:11" x14ac:dyDescent="0.25">
      <c r="A42" s="258" t="s">
        <v>128</v>
      </c>
      <c r="B42" s="258" t="s">
        <v>126</v>
      </c>
      <c r="C42" s="258" t="s">
        <v>129</v>
      </c>
      <c r="D42" s="258">
        <v>2</v>
      </c>
      <c r="E42" s="258" t="s">
        <v>364</v>
      </c>
      <c r="G42" t="str">
        <v>1101D</v>
      </c>
      <c r="H42" t="str">
        <v>Greta Blash</v>
      </c>
      <c r="I42" t="str">
        <v>Hybrid Project Management: The Best of Both Worlds</v>
      </c>
      <c r="J42">
        <v>2</v>
      </c>
      <c r="K42" t="str">
        <v>PM Skills</v>
      </c>
    </row>
    <row r="43" spans="1:11" x14ac:dyDescent="0.25">
      <c r="A43" s="258" t="s">
        <v>202</v>
      </c>
      <c r="B43" s="258" t="s">
        <v>204</v>
      </c>
      <c r="C43" s="258" t="s">
        <v>203</v>
      </c>
      <c r="D43" s="258">
        <v>2</v>
      </c>
      <c r="E43" s="258" t="s">
        <v>105</v>
      </c>
      <c r="G43" t="str">
        <v>1132D</v>
      </c>
      <c r="H43" t="str">
        <v>Jack Duggal</v>
      </c>
      <c r="I43" t="str">
        <v>Become a Changemaker: Transform Organizations</v>
      </c>
      <c r="J43">
        <v>2</v>
      </c>
      <c r="K43" t="str">
        <v>Change Mgmt, soft skills</v>
      </c>
    </row>
    <row r="44" spans="1:11" x14ac:dyDescent="0.25">
      <c r="A44" s="258" t="s">
        <v>202</v>
      </c>
      <c r="B44" s="258" t="s">
        <v>204</v>
      </c>
      <c r="C44" s="258" t="s">
        <v>203</v>
      </c>
      <c r="D44" s="258">
        <v>2</v>
      </c>
      <c r="E44" s="258" t="s">
        <v>285</v>
      </c>
      <c r="G44" t="str">
        <v>1203D</v>
      </c>
      <c r="H44" t="str">
        <v>Oscar Wasilik</v>
      </c>
      <c r="I44" t="str">
        <v>Governance That Works: Psychology, Strategy and Tools</v>
      </c>
      <c r="J44">
        <v>3</v>
      </c>
      <c r="K44" t="str">
        <v>GOV</v>
      </c>
    </row>
    <row r="45" spans="1:11" x14ac:dyDescent="0.25">
      <c r="A45" s="258" t="s">
        <v>225</v>
      </c>
      <c r="B45" s="258" t="s">
        <v>227</v>
      </c>
      <c r="C45" s="258" t="s">
        <v>226</v>
      </c>
      <c r="D45" s="258">
        <v>2</v>
      </c>
      <c r="E45" s="258" t="s">
        <v>54</v>
      </c>
      <c r="G45" t="str">
        <v>1211D</v>
      </c>
      <c r="H45" t="str">
        <v>Klaus Nielsen</v>
      </c>
      <c r="I45" t="str">
        <v>Master the Principles: Accelerate Project Success</v>
      </c>
      <c r="J45">
        <v>1</v>
      </c>
      <c r="K45" t="str">
        <v>PM Skills</v>
      </c>
    </row>
    <row r="46" spans="1:11" x14ac:dyDescent="0.25">
      <c r="A46" s="258" t="s">
        <v>52</v>
      </c>
      <c r="B46" s="258" t="s">
        <v>50</v>
      </c>
      <c r="C46" s="258" t="s">
        <v>53</v>
      </c>
      <c r="D46" s="258">
        <v>1</v>
      </c>
      <c r="E46" s="258" t="s">
        <v>54</v>
      </c>
      <c r="G46" t="str">
        <v>1243D</v>
      </c>
      <c r="H46" t="str">
        <v>Robert Bogue</v>
      </c>
      <c r="I46" t="str">
        <v>Change Management for Project Success</v>
      </c>
      <c r="J46">
        <v>3</v>
      </c>
      <c r="K46" t="str">
        <v>Agile</v>
      </c>
    </row>
    <row r="47" spans="1:11" x14ac:dyDescent="0.25">
      <c r="A47" s="258" t="s">
        <v>103</v>
      </c>
      <c r="B47" s="258" t="s">
        <v>100</v>
      </c>
      <c r="C47" s="258" t="s">
        <v>104</v>
      </c>
      <c r="D47" s="258">
        <v>3</v>
      </c>
      <c r="E47" s="258" t="s">
        <v>105</v>
      </c>
      <c r="G47" t="str">
        <v>1251D</v>
      </c>
      <c r="H47" t="str">
        <v>Subash Racoojmar</v>
      </c>
      <c r="I47" t="str">
        <v>Psychological Safety at Work</v>
      </c>
      <c r="J47">
        <v>1</v>
      </c>
      <c r="K47" t="str">
        <v>Softskills</v>
      </c>
    </row>
    <row r="48" spans="1:11" x14ac:dyDescent="0.25">
      <c r="A48" s="258" t="s">
        <v>103</v>
      </c>
      <c r="B48" s="258" t="s">
        <v>100</v>
      </c>
      <c r="C48" s="258" t="s">
        <v>104</v>
      </c>
      <c r="D48" s="258">
        <v>3</v>
      </c>
      <c r="E48" s="258" t="s">
        <v>240</v>
      </c>
      <c r="G48" t="str">
        <v>1344H</v>
      </c>
      <c r="H48" t="str">
        <v>Carl Pritchard</v>
      </c>
      <c r="I48" t="str">
        <v>Adaptive Project Management</v>
      </c>
      <c r="J48">
        <v>0.6</v>
      </c>
      <c r="K48" t="str">
        <v>PM Skills</v>
      </c>
    </row>
    <row r="49" spans="1:11" x14ac:dyDescent="0.25">
      <c r="A49" s="258" t="s">
        <v>103</v>
      </c>
      <c r="B49" s="258" t="s">
        <v>100</v>
      </c>
      <c r="C49" s="258" t="s">
        <v>104</v>
      </c>
      <c r="D49" s="258">
        <v>3</v>
      </c>
      <c r="E49" s="258" t="s">
        <v>287</v>
      </c>
      <c r="G49" t="str">
        <v>1394H</v>
      </c>
      <c r="H49" t="str">
        <v>Carlene Szostak</v>
      </c>
      <c r="I49" t="str">
        <v>Thrive in the AI Era: Future-Ready PM Skills</v>
      </c>
      <c r="J49">
        <v>0.5</v>
      </c>
      <c r="K49" t="str">
        <v>AI</v>
      </c>
    </row>
    <row r="50" spans="1:11" x14ac:dyDescent="0.25">
      <c r="A50" s="258" t="s">
        <v>103</v>
      </c>
      <c r="B50" s="258" t="s">
        <v>100</v>
      </c>
      <c r="C50" s="258" t="s">
        <v>104</v>
      </c>
      <c r="D50" s="258">
        <v>3</v>
      </c>
      <c r="E50" s="258" t="s">
        <v>265</v>
      </c>
      <c r="G50" t="str">
        <v>1402D</v>
      </c>
      <c r="H50" t="str">
        <v>Esra Tepeli</v>
      </c>
      <c r="I50" t="str">
        <v>Enterprise Risk Management: Master Complex Projects</v>
      </c>
      <c r="J50">
        <v>2</v>
      </c>
      <c r="K50" t="str">
        <v>RISK</v>
      </c>
    </row>
    <row r="51" spans="1:11" x14ac:dyDescent="0.25">
      <c r="A51" s="258" t="s">
        <v>67</v>
      </c>
      <c r="B51" s="258" t="s">
        <v>69</v>
      </c>
      <c r="C51" s="258" t="s">
        <v>68</v>
      </c>
      <c r="D51" s="258">
        <v>2</v>
      </c>
      <c r="E51" s="258" t="s">
        <v>70</v>
      </c>
      <c r="G51" t="str">
        <v>1414H</v>
      </c>
      <c r="H51" t="str">
        <v>Teresa Lawrence</v>
      </c>
      <c r="I51" t="str">
        <v>Cognitive Diversity: Leverage Your Thinking Style</v>
      </c>
      <c r="J51">
        <v>0.5</v>
      </c>
      <c r="K51" t="str">
        <v>softskills</v>
      </c>
    </row>
    <row r="52" spans="1:11" x14ac:dyDescent="0.25">
      <c r="A52" s="258" t="s">
        <v>77</v>
      </c>
      <c r="B52" s="258" t="s">
        <v>79</v>
      </c>
      <c r="C52" s="258" t="s">
        <v>78</v>
      </c>
      <c r="D52" s="258">
        <v>2</v>
      </c>
      <c r="E52" s="258" t="s">
        <v>60</v>
      </c>
      <c r="G52" t="str">
        <v>1421D</v>
      </c>
      <c r="H52" t="str">
        <v>Esra Tepeli</v>
      </c>
      <c r="I52" t="str">
        <v>AI for Strategic Decisions: Leveraging Analysis</v>
      </c>
      <c r="J52">
        <v>1</v>
      </c>
      <c r="K52" t="str">
        <v>AI</v>
      </c>
    </row>
    <row r="53" spans="1:11" x14ac:dyDescent="0.25">
      <c r="A53" s="258" t="s">
        <v>160</v>
      </c>
      <c r="B53" s="258" t="s">
        <v>79</v>
      </c>
      <c r="C53" s="258" t="s">
        <v>161</v>
      </c>
      <c r="D53" s="258">
        <v>4</v>
      </c>
      <c r="E53" s="258" t="s">
        <v>60</v>
      </c>
      <c r="G53" t="str">
        <v>1464D</v>
      </c>
      <c r="H53" t="str">
        <v>Jack Duggal</v>
      </c>
      <c r="I53" t="str">
        <v>Next-Gen PMO: Build for Uncertainty</v>
      </c>
      <c r="J53">
        <v>4</v>
      </c>
      <c r="K53" t="str">
        <v>PMO, PM Skills</v>
      </c>
    </row>
    <row r="54" spans="1:11" x14ac:dyDescent="0.25">
      <c r="A54" s="258" t="s">
        <v>160</v>
      </c>
      <c r="B54" s="258" t="s">
        <v>79</v>
      </c>
      <c r="C54" s="258" t="s">
        <v>161</v>
      </c>
      <c r="D54" s="258">
        <v>4</v>
      </c>
      <c r="E54" s="258" t="s">
        <v>285</v>
      </c>
      <c r="G54" t="str">
        <v>1482D</v>
      </c>
      <c r="H54" t="str">
        <v>Oscar Wasilik</v>
      </c>
      <c r="I54" t="str">
        <v>Artificial Intelligence-Powered Project Excellence: Roadmaps, Success Strategies, and Practical Tools</v>
      </c>
      <c r="J54">
        <v>2</v>
      </c>
      <c r="K54" t="str">
        <v>AI, Construction, AI Technical</v>
      </c>
    </row>
    <row r="55" spans="1:11" x14ac:dyDescent="0.25">
      <c r="A55" s="258" t="s">
        <v>160</v>
      </c>
      <c r="B55" s="258" t="s">
        <v>399</v>
      </c>
      <c r="C55" s="258" t="s">
        <v>161</v>
      </c>
      <c r="D55" s="258">
        <v>4</v>
      </c>
      <c r="E55" s="258" t="s">
        <v>105</v>
      </c>
      <c r="G55" t="str">
        <v>1492D</v>
      </c>
      <c r="H55" t="str">
        <v>Klaus Nielsen</v>
      </c>
      <c r="I55" t="str">
        <v>Mastering Project Management Principles</v>
      </c>
      <c r="J55">
        <v>2</v>
      </c>
      <c r="K55" t="str">
        <v>PMO</v>
      </c>
    </row>
    <row r="56" spans="1:11" x14ac:dyDescent="0.25">
      <c r="A56" s="258" t="s">
        <v>156</v>
      </c>
      <c r="B56" s="258" t="s">
        <v>69</v>
      </c>
      <c r="C56" s="258" t="s">
        <v>157</v>
      </c>
      <c r="D56" s="258">
        <v>4</v>
      </c>
      <c r="E56" s="258" t="s">
        <v>70</v>
      </c>
      <c r="G56" t="str">
        <v>1524H</v>
      </c>
      <c r="H56" t="str">
        <v>Carl Pritchard</v>
      </c>
      <c r="I56" t="str">
        <v>The Engaged, Empowered, and Happy Stakeholder </v>
      </c>
      <c r="J56">
        <v>0.5</v>
      </c>
      <c r="K56" t="str">
        <v>PM Skills</v>
      </c>
    </row>
    <row r="57" spans="1:11" x14ac:dyDescent="0.25">
      <c r="A57" s="258" t="s">
        <v>263</v>
      </c>
      <c r="B57" s="258" t="s">
        <v>231</v>
      </c>
      <c r="C57" s="258" t="s">
        <v>264</v>
      </c>
      <c r="D57" s="258">
        <v>2</v>
      </c>
      <c r="E57" s="258" t="s">
        <v>265</v>
      </c>
      <c r="G57" t="str">
        <v>1542D</v>
      </c>
      <c r="H57" t="str">
        <v>Jack Duggal</v>
      </c>
      <c r="I57" t="str">
        <v>Power Skills: Lead, Influence, and Navigate</v>
      </c>
      <c r="J57">
        <v>2</v>
      </c>
      <c r="K57" t="str">
        <v>Power Skills</v>
      </c>
    </row>
    <row r="58" spans="1:11" x14ac:dyDescent="0.25">
      <c r="A58" s="258" t="s">
        <v>263</v>
      </c>
      <c r="B58" s="258" t="s">
        <v>231</v>
      </c>
      <c r="C58" s="258" t="s">
        <v>264</v>
      </c>
      <c r="D58" s="258">
        <v>2</v>
      </c>
      <c r="E58" s="258" t="s">
        <v>329</v>
      </c>
      <c r="G58" t="str">
        <v>1552D</v>
      </c>
      <c r="H58" t="str">
        <v>Oscar Wasilik</v>
      </c>
      <c r="I58" t="str">
        <v>Artificial Intelligence Applied Skills: Unlocking Project Automation and Efficiency Gains</v>
      </c>
      <c r="J58">
        <v>2</v>
      </c>
      <c r="K58" t="str">
        <v>AI, AI Technical</v>
      </c>
    </row>
    <row r="59" spans="1:11" x14ac:dyDescent="0.25">
      <c r="A59" s="258" t="s">
        <v>251</v>
      </c>
      <c r="B59" s="258" t="s">
        <v>302</v>
      </c>
      <c r="C59" s="258" t="s">
        <v>252</v>
      </c>
      <c r="D59" s="258">
        <v>0.5</v>
      </c>
      <c r="E59" s="258" t="s">
        <v>30</v>
      </c>
      <c r="G59" t="str">
        <v>1602D</v>
      </c>
      <c r="H59" t="str">
        <v>Brad Malone</v>
      </c>
      <c r="I59" t="str">
        <v>Project Management Foundations: Launch Your Success</v>
      </c>
      <c r="J59">
        <v>2</v>
      </c>
      <c r="K59" t="str">
        <v>PM Skills</v>
      </c>
    </row>
    <row r="60" spans="1:11" x14ac:dyDescent="0.25">
      <c r="A60" s="258" t="s">
        <v>74</v>
      </c>
      <c r="B60" s="258" t="s">
        <v>76</v>
      </c>
      <c r="C60" s="258" t="s">
        <v>75</v>
      </c>
      <c r="D60" s="258">
        <v>3</v>
      </c>
      <c r="E60" s="258" t="s">
        <v>60</v>
      </c>
      <c r="G60" t="str">
        <v>1641D</v>
      </c>
      <c r="H60" t="str">
        <v>Annie Sheehan</v>
      </c>
      <c r="I60" t="str">
        <v>Courageous Sponsorship</v>
      </c>
      <c r="J60">
        <v>1</v>
      </c>
      <c r="K60" t="str">
        <v>Leadership</v>
      </c>
    </row>
    <row r="61" spans="1:11" x14ac:dyDescent="0.25">
      <c r="A61" s="258" t="s">
        <v>212</v>
      </c>
      <c r="B61" s="258" t="s">
        <v>214</v>
      </c>
      <c r="C61" s="258" t="s">
        <v>213</v>
      </c>
      <c r="D61" s="258">
        <v>2</v>
      </c>
      <c r="E61" s="258" t="s">
        <v>215</v>
      </c>
      <c r="G61" t="str">
        <v>1651D</v>
      </c>
      <c r="H61" t="str">
        <v>Annie Sheehan</v>
      </c>
      <c r="I61" t="str">
        <v>Empowering Leaders to Execute Strategically</v>
      </c>
      <c r="J61">
        <v>1</v>
      </c>
      <c r="K61" t="str">
        <v>Leadership</v>
      </c>
    </row>
    <row r="62" spans="1:11" x14ac:dyDescent="0.25">
      <c r="A62" s="258" t="s">
        <v>376</v>
      </c>
      <c r="B62" s="258" t="s">
        <v>378</v>
      </c>
      <c r="C62" s="258" t="s">
        <v>377</v>
      </c>
      <c r="D62" s="258">
        <v>4</v>
      </c>
      <c r="E62" s="258" t="s">
        <v>60</v>
      </c>
      <c r="G62" t="str">
        <v>1681D</v>
      </c>
      <c r="H62" t="str">
        <v>Peter Ivanov</v>
      </c>
      <c r="I62" t="str">
        <v>Embracing AI in your Projects</v>
      </c>
      <c r="J62">
        <v>1</v>
      </c>
      <c r="K62" t="str">
        <v>AI</v>
      </c>
    </row>
    <row r="63" spans="1:11" x14ac:dyDescent="0.25">
      <c r="A63" s="258" t="s">
        <v>216</v>
      </c>
      <c r="B63" s="258" t="s">
        <v>214</v>
      </c>
      <c r="C63" s="258" t="s">
        <v>217</v>
      </c>
      <c r="D63" s="258">
        <v>1</v>
      </c>
      <c r="E63" s="258" t="s">
        <v>215</v>
      </c>
      <c r="G63" t="str">
        <v>1692D</v>
      </c>
      <c r="H63" t="str">
        <v>Lisa DiTullio</v>
      </c>
      <c r="I63" t="str">
        <v>Project TLC:  Teamwork, Leadership, Communications</v>
      </c>
      <c r="J63">
        <v>2</v>
      </c>
      <c r="K63" t="str">
        <v>PM Skills</v>
      </c>
    </row>
    <row r="64" spans="1:11" x14ac:dyDescent="0.25">
      <c r="A64" s="258" t="s">
        <v>216</v>
      </c>
      <c r="B64" s="258" t="s">
        <v>214</v>
      </c>
      <c r="C64" s="258" t="s">
        <v>217</v>
      </c>
      <c r="D64" s="258">
        <v>1</v>
      </c>
      <c r="E64" s="258" t="s">
        <v>54</v>
      </c>
      <c r="G64" t="str">
        <v>1702D</v>
      </c>
      <c r="H64" t="str">
        <v>Peter Ivanov</v>
      </c>
      <c r="I64" t="str">
        <v>AI Agents for Project Excellence</v>
      </c>
      <c r="J64">
        <v>2</v>
      </c>
      <c r="K64" t="str">
        <v>AI, AI Technical</v>
      </c>
    </row>
    <row r="65" spans="1:11" x14ac:dyDescent="0.25">
      <c r="A65" s="258" t="s">
        <v>243</v>
      </c>
      <c r="B65" s="258" t="s">
        <v>154</v>
      </c>
      <c r="C65" s="258" t="s">
        <v>244</v>
      </c>
      <c r="D65" s="258">
        <v>2</v>
      </c>
      <c r="E65" s="258" t="s">
        <v>54</v>
      </c>
      <c r="G65" t="str">
        <v>1712D</v>
      </c>
      <c r="H65" t="str">
        <v>Carl Pritchard</v>
      </c>
      <c r="I65" t="str">
        <v>Risk Management Essentials</v>
      </c>
      <c r="J65">
        <v>2</v>
      </c>
      <c r="K65" t="str">
        <v>RISK</v>
      </c>
    </row>
    <row r="66" spans="1:11" x14ac:dyDescent="0.25">
      <c r="A66" s="258" t="s">
        <v>248</v>
      </c>
      <c r="B66" s="258" t="s">
        <v>302</v>
      </c>
      <c r="C66" s="258" t="s">
        <v>249</v>
      </c>
      <c r="D66" s="258">
        <v>2</v>
      </c>
      <c r="E66" s="258" t="s">
        <v>285</v>
      </c>
      <c r="G66" t="str">
        <v>1724D</v>
      </c>
      <c r="H66" t="str">
        <v>Sunny Faronbi</v>
      </c>
      <c r="I66" t="str">
        <v>Lead with Emotional Intelligence</v>
      </c>
      <c r="J66">
        <v>4</v>
      </c>
      <c r="K66" t="str">
        <v>EI, PMO/EI, PMO</v>
      </c>
    </row>
    <row r="67" spans="1:11" x14ac:dyDescent="0.25">
      <c r="A67" s="258" t="s">
        <v>248</v>
      </c>
      <c r="B67" s="258" t="s">
        <v>302</v>
      </c>
      <c r="C67" s="258" t="s">
        <v>249</v>
      </c>
      <c r="D67" s="258">
        <v>2</v>
      </c>
      <c r="E67" s="258" t="s">
        <v>105</v>
      </c>
      <c r="G67" t="str">
        <v>1731D</v>
      </c>
      <c r="H67" t="str">
        <v>Carlene Szostak</v>
      </c>
      <c r="I67" t="str">
        <v>Leading Remote Teams</v>
      </c>
      <c r="J67">
        <v>1</v>
      </c>
      <c r="K67" t="str">
        <v>soft skills</v>
      </c>
    </row>
    <row r="68" spans="1:11" x14ac:dyDescent="0.25">
      <c r="A68" s="258" t="s">
        <v>248</v>
      </c>
      <c r="B68" s="258" t="s">
        <v>302</v>
      </c>
      <c r="C68" s="258" t="s">
        <v>249</v>
      </c>
      <c r="D68" s="258">
        <v>2</v>
      </c>
      <c r="E68" s="258" t="s">
        <v>30</v>
      </c>
      <c r="G68" t="str">
        <v>1741D</v>
      </c>
      <c r="H68" t="str">
        <v>Carlene Szostak</v>
      </c>
      <c r="I68" t="str">
        <v>AI Ethics for Project Managers</v>
      </c>
      <c r="J68">
        <v>1</v>
      </c>
      <c r="K68" t="str">
        <v>AI</v>
      </c>
    </row>
    <row r="69" spans="1:11" x14ac:dyDescent="0.25">
      <c r="A69" s="258" t="s">
        <v>80</v>
      </c>
      <c r="B69" s="258" t="s">
        <v>82</v>
      </c>
      <c r="C69" s="258" t="s">
        <v>319</v>
      </c>
      <c r="D69" s="258">
        <v>0.5</v>
      </c>
      <c r="E69" s="258" t="s">
        <v>285</v>
      </c>
      <c r="G69" t="str">
        <v>1752D</v>
      </c>
      <c r="H69" t="str">
        <v>Frank Saladis</v>
      </c>
      <c r="I69" t="str">
        <v>Master Business Acumen Part 1: Become Business-Savvy</v>
      </c>
      <c r="J69">
        <v>2</v>
      </c>
      <c r="K69" t="str">
        <v>BA, Agile</v>
      </c>
    </row>
    <row r="70" spans="1:11" x14ac:dyDescent="0.25">
      <c r="A70" s="258" t="s">
        <v>80</v>
      </c>
      <c r="B70" s="258" t="s">
        <v>82</v>
      </c>
      <c r="C70" s="258" t="s">
        <v>81</v>
      </c>
      <c r="D70" s="258">
        <v>0.5</v>
      </c>
      <c r="E70" s="258" t="s">
        <v>47</v>
      </c>
      <c r="G70" t="str">
        <v>1762D</v>
      </c>
      <c r="H70" t="str">
        <v>Frank Saladis</v>
      </c>
      <c r="I70" t="str">
        <v>Master Business Acumen Part 2: Drive Business Value</v>
      </c>
      <c r="J70">
        <v>2</v>
      </c>
      <c r="K70" t="str">
        <v>BA, Agile</v>
      </c>
    </row>
    <row r="71" spans="1:11" x14ac:dyDescent="0.25">
      <c r="A71" s="258" t="s">
        <v>131</v>
      </c>
      <c r="B71" s="258" t="s">
        <v>133</v>
      </c>
      <c r="C71" s="258" t="s">
        <v>132</v>
      </c>
      <c r="D71" s="258">
        <v>1</v>
      </c>
      <c r="E71" s="258" t="s">
        <v>105</v>
      </c>
      <c r="G71" t="str">
        <v>1774D</v>
      </c>
      <c r="H71" t="str">
        <v>Michel Thiry, Guillaume Lapierre</v>
      </c>
      <c r="I71" t="str">
        <v>The VMO Master Class</v>
      </c>
      <c r="J71">
        <v>4</v>
      </c>
      <c r="K71" t="str">
        <v>PMO</v>
      </c>
    </row>
    <row r="72" spans="1:11" x14ac:dyDescent="0.25">
      <c r="A72" s="258" t="s">
        <v>136</v>
      </c>
      <c r="B72" s="258" t="s">
        <v>133</v>
      </c>
      <c r="C72" s="258" t="s">
        <v>137</v>
      </c>
      <c r="D72" s="258">
        <v>1</v>
      </c>
      <c r="E72" s="258" t="s">
        <v>105</v>
      </c>
      <c r="G72" t="str">
        <v>1782D</v>
      </c>
      <c r="H72" t="str">
        <v>Lisa DiTullio</v>
      </c>
      <c r="I72" t="str">
        <v>Project TLC Cohort (need to resolve 5 week schedule)</v>
      </c>
      <c r="J72">
        <v>2</v>
      </c>
      <c r="K72" t="str">
        <v>Coaching</v>
      </c>
    </row>
    <row r="73" spans="1:11" x14ac:dyDescent="0.25">
      <c r="A73" s="258" t="s">
        <v>136</v>
      </c>
      <c r="B73" s="258" t="s">
        <v>133</v>
      </c>
      <c r="C73" s="258" t="s">
        <v>137</v>
      </c>
      <c r="D73" s="258">
        <v>2</v>
      </c>
      <c r="E73" s="258" t="s">
        <v>105</v>
      </c>
      <c r="G73" t="str">
        <v>1802D</v>
      </c>
      <c r="H73" t="str">
        <v>Klaus Boedker</v>
      </c>
      <c r="I73" t="str">
        <v>Leading with AI for Project Managers</v>
      </c>
      <c r="J73">
        <v>2</v>
      </c>
      <c r="K73" t="str">
        <v>AI, AI Technical</v>
      </c>
    </row>
    <row r="74" spans="1:11" x14ac:dyDescent="0.25">
      <c r="A74" s="258" t="s">
        <v>48</v>
      </c>
      <c r="B74" s="258" t="s">
        <v>50</v>
      </c>
      <c r="C74" s="258" t="s">
        <v>49</v>
      </c>
      <c r="D74" s="258">
        <v>2</v>
      </c>
      <c r="E74" s="258" t="s">
        <v>51</v>
      </c>
      <c r="G74" t="str">
        <v>1813D</v>
      </c>
      <c r="H74" t="str">
        <v>Bob Maiale</v>
      </c>
      <c r="I74" t="str">
        <v>Plan and Control: Project Management Foundations</v>
      </c>
      <c r="J74">
        <v>3</v>
      </c>
      <c r="K74" t="str">
        <v>Construction, PM Skills , PM Skills</v>
      </c>
    </row>
    <row r="75" spans="1:11" x14ac:dyDescent="0.25">
      <c r="A75" s="258" t="s">
        <v>48</v>
      </c>
      <c r="B75" s="258" t="s">
        <v>50</v>
      </c>
      <c r="C75" s="258" t="s">
        <v>49</v>
      </c>
      <c r="D75" s="258">
        <v>2</v>
      </c>
      <c r="E75" s="258" t="s">
        <v>30</v>
      </c>
      <c r="G75" t="str">
        <v>1821D</v>
      </c>
      <c r="H75" t="str">
        <v>Bob Maiale</v>
      </c>
      <c r="I75" t="str">
        <v>Project Risk Mastery: Anticipate and Respond</v>
      </c>
      <c r="J75">
        <v>1</v>
      </c>
      <c r="K75" t="str">
        <v>RISK, 0</v>
      </c>
    </row>
    <row r="76" spans="1:11" x14ac:dyDescent="0.25">
      <c r="A76" s="258" t="s">
        <v>390</v>
      </c>
      <c r="B76" s="258" t="s">
        <v>389</v>
      </c>
      <c r="C76" s="258" t="s">
        <v>391</v>
      </c>
      <c r="D76" s="258">
        <v>3</v>
      </c>
      <c r="E76" s="258" t="s">
        <v>392</v>
      </c>
      <c r="G76" t="str">
        <v>1831D</v>
      </c>
      <c r="H76" t="str">
        <v>Bob Maiale</v>
      </c>
      <c r="I76" t="str">
        <v>Lead Anywhere: Master Matrix and Remote Teams</v>
      </c>
      <c r="J76">
        <v>1</v>
      </c>
      <c r="K76" t="str">
        <v>0</v>
      </c>
    </row>
    <row r="77" spans="1:11" x14ac:dyDescent="0.25">
      <c r="A77" s="258" t="s">
        <v>331</v>
      </c>
      <c r="B77" s="258" t="s">
        <v>57</v>
      </c>
      <c r="C77" s="258" t="s">
        <v>332</v>
      </c>
      <c r="D77" s="258">
        <v>1</v>
      </c>
      <c r="E77" s="258" t="s">
        <v>105</v>
      </c>
      <c r="G77" t="str">
        <v>1864H</v>
      </c>
      <c r="H77" t="str">
        <v>Joseph Reed</v>
      </c>
      <c r="I77" t="str">
        <v xml:space="preserve"> Influencing Without Authority Interactive Briefing</v>
      </c>
      <c r="J77">
        <v>0.6</v>
      </c>
      <c r="K77" t="str">
        <v>Leadership</v>
      </c>
    </row>
    <row r="78" spans="1:11" x14ac:dyDescent="0.25">
      <c r="A78" s="258" t="s">
        <v>383</v>
      </c>
      <c r="B78" s="258" t="s">
        <v>385</v>
      </c>
      <c r="C78" s="258" t="s">
        <v>384</v>
      </c>
      <c r="D78" s="258">
        <v>3</v>
      </c>
      <c r="E78" s="258" t="s">
        <v>215</v>
      </c>
      <c r="G78" t="str">
        <v>1864H</v>
      </c>
      <c r="H78" t="str">
        <v>Joseph Reed</v>
      </c>
      <c r="I78" t="str">
        <v>Influencing Without Authority Interactive Briefing</v>
      </c>
      <c r="J78">
        <v>0.6</v>
      </c>
      <c r="K78" t="str">
        <v>Leadership</v>
      </c>
    </row>
    <row r="79" spans="1:11" x14ac:dyDescent="0.25">
      <c r="A79" s="258" t="s">
        <v>322</v>
      </c>
      <c r="B79" s="258" t="s">
        <v>324</v>
      </c>
      <c r="C79" s="258" t="s">
        <v>323</v>
      </c>
      <c r="D79" s="258">
        <v>1</v>
      </c>
      <c r="E79" s="258" t="s">
        <v>325</v>
      </c>
      <c r="G79" t="str">
        <v>1882D</v>
      </c>
      <c r="H79" t="str">
        <v>Joshua Barnes</v>
      </c>
      <c r="I79" t="str">
        <v>Disciplined Agile Foundations: Approaches for Team Agility</v>
      </c>
      <c r="J79">
        <v>2</v>
      </c>
      <c r="K79" t="str">
        <v>AGILE</v>
      </c>
    </row>
    <row r="80" spans="1:11" x14ac:dyDescent="0.25">
      <c r="A80" s="258" t="s">
        <v>182</v>
      </c>
      <c r="B80" s="258" t="s">
        <v>184</v>
      </c>
      <c r="C80" s="258" t="s">
        <v>183</v>
      </c>
      <c r="D80" s="258">
        <v>0.6</v>
      </c>
      <c r="E80" s="258" t="s">
        <v>105</v>
      </c>
      <c r="G80" t="str">
        <v>1892D</v>
      </c>
      <c r="H80" t="str">
        <v>Tyson Rydl</v>
      </c>
      <c r="I80" t="str">
        <v>Human Design Pattern Thinking</v>
      </c>
      <c r="J80">
        <v>2</v>
      </c>
      <c r="K80" t="str">
        <v>PMI Skills</v>
      </c>
    </row>
    <row r="81" spans="1:11" x14ac:dyDescent="0.25">
      <c r="A81" s="258" t="s">
        <v>439</v>
      </c>
      <c r="B81" s="258" t="s">
        <v>199</v>
      </c>
      <c r="C81" s="258" t="s">
        <v>440</v>
      </c>
      <c r="D81" s="258">
        <v>0.5</v>
      </c>
      <c r="E81" s="258" t="s">
        <v>41</v>
      </c>
      <c r="G81" t="str">
        <v>1902D</v>
      </c>
      <c r="H81" t="str">
        <v>Rafsan Huseynov</v>
      </c>
      <c r="I81" t="str">
        <v>Microsoft 365 Copilot: AI for PM Productivity</v>
      </c>
      <c r="J81">
        <v>2</v>
      </c>
      <c r="K81" t="str">
        <v>AI/Technical, TECHNICAL</v>
      </c>
    </row>
    <row r="82" spans="1:11" x14ac:dyDescent="0.25">
      <c r="A82" s="258" t="s">
        <v>270</v>
      </c>
      <c r="B82" s="258" t="s">
        <v>38</v>
      </c>
      <c r="C82" s="258" t="s">
        <v>271</v>
      </c>
      <c r="D82" s="258">
        <v>2</v>
      </c>
      <c r="E82" s="258" t="s">
        <v>70</v>
      </c>
      <c r="G82" t="str">
        <v>1912D</v>
      </c>
      <c r="H82" t="str">
        <v>Hammer and Newman</v>
      </c>
      <c r="I82" t="str">
        <v xml:space="preserve">AI for People-First Project Management </v>
      </c>
      <c r="J82">
        <v>2</v>
      </c>
      <c r="K82" t="str">
        <v>NEW</v>
      </c>
    </row>
    <row r="83" spans="1:11" x14ac:dyDescent="0.25">
      <c r="A83" s="258" t="s">
        <v>333</v>
      </c>
      <c r="B83" s="258" t="s">
        <v>302</v>
      </c>
      <c r="C83" s="258" t="s">
        <v>334</v>
      </c>
      <c r="D83" s="258">
        <v>0.5</v>
      </c>
      <c r="E83" s="258" t="s">
        <v>329</v>
      </c>
      <c r="G83" t="str">
        <v>1932D</v>
      </c>
      <c r="H83" t="str">
        <v>Debra Howell</v>
      </c>
      <c r="I83" t="str">
        <v>Rise Through Resilience</v>
      </c>
      <c r="J83">
        <v>2</v>
      </c>
      <c r="K83" t="str">
        <v>soft skills</v>
      </c>
    </row>
    <row r="84" spans="1:11" x14ac:dyDescent="0.25">
      <c r="A84" s="258" t="s">
        <v>36</v>
      </c>
      <c r="B84" s="258" t="s">
        <v>38</v>
      </c>
      <c r="C84" s="258" t="s">
        <v>400</v>
      </c>
      <c r="D84" s="258">
        <v>1</v>
      </c>
      <c r="E84" s="258" t="s">
        <v>41</v>
      </c>
      <c r="G84" t="str">
        <v>1962D</v>
      </c>
      <c r="H84" t="str">
        <v>Tony Prensa</v>
      </c>
      <c r="I84" t="str">
        <v>Implement a Strategic PMO: Drive Business Value</v>
      </c>
      <c r="J84">
        <v>2</v>
      </c>
      <c r="K84" t="str">
        <v>PMO</v>
      </c>
    </row>
    <row r="85" spans="1:11" x14ac:dyDescent="0.25">
      <c r="A85" s="258" t="s">
        <v>36</v>
      </c>
      <c r="B85" s="258" t="s">
        <v>38</v>
      </c>
      <c r="C85" s="258" t="s">
        <v>400</v>
      </c>
      <c r="D85" s="258">
        <v>1</v>
      </c>
      <c r="E85" s="258" t="s">
        <v>41</v>
      </c>
      <c r="G85" t="str">
        <v>1972D</v>
      </c>
      <c r="H85" t="str">
        <v>Christine Aykac</v>
      </c>
      <c r="I85" t="str">
        <v>Adaptive PMO: Mastering Agile Transformation</v>
      </c>
      <c r="J85">
        <v>2</v>
      </c>
      <c r="K85" t="str">
        <v>PMO</v>
      </c>
    </row>
    <row r="86" spans="1:11" x14ac:dyDescent="0.25">
      <c r="A86" s="258" t="s">
        <v>121</v>
      </c>
      <c r="B86" s="258" t="s">
        <v>50</v>
      </c>
      <c r="C86" s="258" t="s">
        <v>122</v>
      </c>
      <c r="D86" s="258">
        <v>4</v>
      </c>
      <c r="E86" s="258" t="s">
        <v>60</v>
      </c>
      <c r="G86" t="str">
        <v>1972D</v>
      </c>
      <c r="H86" t="str">
        <v>Christine Aykac</v>
      </c>
      <c r="I86" t="str">
        <v>The Adaptive PMO: Mastering Agile Transformation</v>
      </c>
      <c r="J86">
        <v>2</v>
      </c>
      <c r="K86" t="str">
        <v>PMO</v>
      </c>
    </row>
    <row r="87" spans="1:11" x14ac:dyDescent="0.25">
      <c r="A87" s="258" t="s">
        <v>121</v>
      </c>
      <c r="B87" s="258" t="s">
        <v>458</v>
      </c>
      <c r="C87" s="258" t="s">
        <v>122</v>
      </c>
      <c r="D87" s="258">
        <v>4</v>
      </c>
      <c r="E87" s="258" t="s">
        <v>105</v>
      </c>
      <c r="G87" t="str">
        <v>1991D</v>
      </c>
      <c r="H87" t="str">
        <v>Oscar Wasilik</v>
      </c>
      <c r="I87" t="str">
        <v>AI Applications: Future-Proofing your PMO</v>
      </c>
      <c r="J87">
        <v>1</v>
      </c>
      <c r="K87" t="str">
        <v>PMO, AI/PMO</v>
      </c>
    </row>
    <row r="88" spans="1:11" x14ac:dyDescent="0.25">
      <c r="A88" s="258" t="s">
        <v>115</v>
      </c>
      <c r="B88" s="258" t="s">
        <v>389</v>
      </c>
      <c r="C88" s="258" t="s">
        <v>116</v>
      </c>
      <c r="D88" s="258">
        <v>2</v>
      </c>
      <c r="E88" s="258" t="s">
        <v>41</v>
      </c>
      <c r="G88" t="str">
        <v>2002D</v>
      </c>
      <c r="H88" t="str">
        <v>Bob Maiale</v>
      </c>
      <c r="I88" t="str">
        <v xml:space="preserve">Construction Execution Planning </v>
      </c>
      <c r="J88">
        <v>2</v>
      </c>
      <c r="K88" t="str">
        <v>Construction, 0</v>
      </c>
    </row>
    <row r="89" spans="1:11" x14ac:dyDescent="0.25">
      <c r="A89" s="258" t="s">
        <v>115</v>
      </c>
      <c r="B89" s="258" t="s">
        <v>389</v>
      </c>
      <c r="C89" s="258" t="s">
        <v>116</v>
      </c>
      <c r="D89" s="258">
        <v>2</v>
      </c>
      <c r="E89" s="258" t="s">
        <v>41</v>
      </c>
      <c r="G89" t="str">
        <v>2012D</v>
      </c>
      <c r="H89" t="str">
        <v>Bob Maiale</v>
      </c>
      <c r="I89" t="str">
        <v>NEW! Construction Technology and Innovation</v>
      </c>
      <c r="J89">
        <v>2</v>
      </c>
      <c r="K89" t="str">
        <v>Construction</v>
      </c>
    </row>
    <row r="90" spans="1:11" x14ac:dyDescent="0.25">
      <c r="A90" s="258" t="s">
        <v>115</v>
      </c>
      <c r="B90" s="258" t="s">
        <v>389</v>
      </c>
      <c r="C90" s="258" t="s">
        <v>116</v>
      </c>
      <c r="D90" s="258">
        <v>2</v>
      </c>
      <c r="E90" s="258" t="s">
        <v>150</v>
      </c>
      <c r="G90" t="str">
        <v>2012D</v>
      </c>
      <c r="H90" t="str">
        <v>TBD</v>
      </c>
      <c r="I90" t="str">
        <v>NEW! Construction Technology and Innovation</v>
      </c>
      <c r="J90">
        <v>2</v>
      </c>
      <c r="K90" t="str">
        <v>Construction</v>
      </c>
    </row>
    <row r="91" spans="1:11" x14ac:dyDescent="0.25">
      <c r="A91" s="258" t="s">
        <v>115</v>
      </c>
      <c r="B91" s="258" t="s">
        <v>389</v>
      </c>
      <c r="C91" s="258" t="s">
        <v>116</v>
      </c>
      <c r="D91" s="258">
        <v>2</v>
      </c>
      <c r="E91" s="258" t="s">
        <v>89</v>
      </c>
      <c r="G91" t="str">
        <v>2022D</v>
      </c>
      <c r="H91" t="str">
        <v>Bob Maiale</v>
      </c>
      <c r="I91" t="str">
        <v xml:space="preserve"> Construction Performance and Materials Management </v>
      </c>
      <c r="J91">
        <v>2</v>
      </c>
      <c r="K91" t="str">
        <v>Construction</v>
      </c>
    </row>
    <row r="92" spans="1:11" x14ac:dyDescent="0.25">
      <c r="A92" s="258" t="s">
        <v>434</v>
      </c>
      <c r="B92" s="258" t="s">
        <v>57</v>
      </c>
      <c r="C92" s="258" t="s">
        <v>59</v>
      </c>
      <c r="D92" s="258">
        <v>2</v>
      </c>
      <c r="E92" s="258" t="s">
        <v>60</v>
      </c>
      <c r="G92" t="str">
        <v>2022D</v>
      </c>
      <c r="H92" t="str">
        <v>TBD</v>
      </c>
      <c r="I92" t="str">
        <v xml:space="preserve"> Construction Performance and Materials Management </v>
      </c>
      <c r="J92">
        <v>2</v>
      </c>
      <c r="K92" t="str">
        <v>Construction</v>
      </c>
    </row>
    <row r="93" spans="1:11" x14ac:dyDescent="0.25">
      <c r="A93" s="258" t="s">
        <v>444</v>
      </c>
      <c r="B93" s="258" t="s">
        <v>184</v>
      </c>
      <c r="C93" s="258" t="s">
        <v>445</v>
      </c>
      <c r="D93" s="258">
        <v>0.5</v>
      </c>
      <c r="E93" s="258" t="s">
        <v>105</v>
      </c>
      <c r="G93" t="str">
        <v>2033D</v>
      </c>
      <c r="H93" t="str">
        <v>Chris Leonard</v>
      </c>
      <c r="I93" t="str">
        <v>NEW! Leading AI-enabled Product Development</v>
      </c>
      <c r="J93">
        <v>3</v>
      </c>
      <c r="K93" t="str">
        <v>AI Technical</v>
      </c>
    </row>
    <row r="94" spans="1:11" x14ac:dyDescent="0.25">
      <c r="A94" s="258" t="s">
        <v>428</v>
      </c>
      <c r="B94" s="258" t="s">
        <v>50</v>
      </c>
      <c r="C94" s="258" t="s">
        <v>429</v>
      </c>
      <c r="D94" s="258">
        <v>2</v>
      </c>
      <c r="E94" s="258" t="s">
        <v>417</v>
      </c>
      <c r="G94" t="str">
        <v>2053D</v>
      </c>
      <c r="H94" t="str">
        <v>Joyce Brown, Thomas McCabe</v>
      </c>
      <c r="I94" t="str">
        <v xml:space="preserve">Analyst’s Guide to Gathering Product and Project Requirements </v>
      </c>
      <c r="J94">
        <v>3</v>
      </c>
      <c r="K94" t="str">
        <v>PM Skills</v>
      </c>
    </row>
    <row r="95" spans="1:11" x14ac:dyDescent="0.25">
      <c r="A95" s="258" t="s">
        <v>119</v>
      </c>
      <c r="B95" s="258" t="s">
        <v>389</v>
      </c>
      <c r="C95" s="258" t="s">
        <v>120</v>
      </c>
      <c r="D95" s="258">
        <v>2</v>
      </c>
      <c r="E95" s="258" t="s">
        <v>41</v>
      </c>
      <c r="G95" t="str">
        <v>2063D</v>
      </c>
      <c r="H95" t="str">
        <v>April Callis-Birchmeier</v>
      </c>
      <c r="I95" t="str">
        <v>Leading Change that Sticks; Drive Adoption and Results</v>
      </c>
      <c r="J95">
        <v>3</v>
      </c>
      <c r="K95" t="str">
        <v>Leadership</v>
      </c>
    </row>
    <row r="96" spans="1:11" x14ac:dyDescent="0.25">
      <c r="A96" s="258" t="s">
        <v>119</v>
      </c>
      <c r="B96" s="258" t="s">
        <v>389</v>
      </c>
      <c r="C96" s="258" t="s">
        <v>120</v>
      </c>
      <c r="D96" s="258">
        <v>2</v>
      </c>
      <c r="E96" s="258" t="s">
        <v>41</v>
      </c>
      <c r="G96" t="str">
        <v>2072D</v>
      </c>
      <c r="H96" t="str">
        <v>Scott Dunn</v>
      </c>
      <c r="I96" t="str">
        <v>Developing High Performing Agile Teams</v>
      </c>
      <c r="J96">
        <v>2</v>
      </c>
      <c r="K96" t="str">
        <v>AGILE</v>
      </c>
    </row>
    <row r="97" spans="1:11" x14ac:dyDescent="0.25">
      <c r="A97" s="258" t="s">
        <v>119</v>
      </c>
      <c r="B97" s="258" t="s">
        <v>389</v>
      </c>
      <c r="C97" s="258" t="s">
        <v>120</v>
      </c>
      <c r="D97" s="258">
        <v>2</v>
      </c>
      <c r="E97" s="258" t="s">
        <v>89</v>
      </c>
      <c r="G97" t="str">
        <v>2084D</v>
      </c>
      <c r="H97" t="str">
        <v>Traci Duez</v>
      </c>
      <c r="I97" t="str">
        <v>Leadership Discovery of your Value and Reputation</v>
      </c>
      <c r="J97">
        <v>4</v>
      </c>
      <c r="K97" t="str">
        <v>Leadership</v>
      </c>
    </row>
    <row r="98" spans="1:11" x14ac:dyDescent="0.25">
      <c r="A98" s="258" t="s">
        <v>195</v>
      </c>
      <c r="B98" s="258" t="s">
        <v>69</v>
      </c>
      <c r="C98" s="258" t="s">
        <v>196</v>
      </c>
      <c r="D98" s="258">
        <v>2</v>
      </c>
      <c r="E98" s="258" t="s">
        <v>105</v>
      </c>
      <c r="G98" t="str">
        <v>2092D</v>
      </c>
      <c r="H98" t="str">
        <v>Erin Ramirez</v>
      </c>
      <c r="I98" t="str">
        <v>Mastering Adaptability for Modern Project Success</v>
      </c>
      <c r="J98">
        <v>2</v>
      </c>
      <c r="K98" t="str">
        <v>Skills, soft skills</v>
      </c>
    </row>
    <row r="99" spans="1:11" x14ac:dyDescent="0.25">
      <c r="A99" s="258" t="s">
        <v>205</v>
      </c>
      <c r="B99" s="258" t="s">
        <v>207</v>
      </c>
      <c r="C99" s="258" t="s">
        <v>206</v>
      </c>
      <c r="D99" s="258">
        <v>1</v>
      </c>
      <c r="E99" s="258" t="s">
        <v>54</v>
      </c>
      <c r="G99" t="str">
        <v>NEW</v>
      </c>
      <c r="H99" t="str">
        <v>Ori Schibi</v>
      </c>
      <c r="I99" t="str">
        <v>AI Change Management</v>
      </c>
      <c r="J99">
        <v>2</v>
      </c>
      <c r="K99" t="str">
        <v>AI</v>
      </c>
    </row>
    <row r="100" spans="1:11" x14ac:dyDescent="0.25">
      <c r="A100" s="258" t="s">
        <v>208</v>
      </c>
      <c r="B100" s="258" t="s">
        <v>207</v>
      </c>
      <c r="C100" s="258" t="s">
        <v>209</v>
      </c>
      <c r="D100" s="258">
        <v>1</v>
      </c>
      <c r="E100" s="258" t="s">
        <v>54</v>
      </c>
      <c r="G100" t="str">
        <v>NEW</v>
      </c>
      <c r="H100" t="str">
        <v>Ori Schibi</v>
      </c>
      <c r="I100" t="str">
        <v>Stakeholder Analysis for a Meaningful Engagement </v>
      </c>
      <c r="J100">
        <v>2</v>
      </c>
      <c r="K100" t="str">
        <v xml:space="preserve">PM Skills </v>
      </c>
    </row>
    <row r="101" spans="1:11" x14ac:dyDescent="0.25">
      <c r="A101" s="258" t="s">
        <v>408</v>
      </c>
      <c r="B101" s="258" t="s">
        <v>63</v>
      </c>
      <c r="C101" s="258" t="s">
        <v>409</v>
      </c>
      <c r="D101" s="258">
        <v>1</v>
      </c>
      <c r="E101" s="258" t="s">
        <v>41</v>
      </c>
      <c r="G101" t="str">
        <v>New 2D</v>
      </c>
      <c r="H101" t="str">
        <v>Tyson Rydl</v>
      </c>
      <c r="I101" t="str">
        <v>Human Pattern Design Thinking</v>
      </c>
      <c r="J101">
        <v>2</v>
      </c>
      <c r="K101" t="str">
        <v>Technical</v>
      </c>
    </row>
    <row r="102" spans="1:11" x14ac:dyDescent="0.25">
      <c r="A102" s="258" t="s">
        <v>306</v>
      </c>
      <c r="B102" s="258" t="s">
        <v>308</v>
      </c>
      <c r="C102" s="258" t="s">
        <v>307</v>
      </c>
      <c r="D102" s="258">
        <v>2</v>
      </c>
      <c r="E102" s="258" t="s">
        <v>105</v>
      </c>
      <c r="G102" t="str">
        <v>TBD</v>
      </c>
      <c r="H102">
        <v>0</v>
      </c>
      <c r="I102" t="str">
        <v>OPEN</v>
      </c>
      <c r="J102">
        <v>2</v>
      </c>
      <c r="K102" t="str">
        <v>Security</v>
      </c>
    </row>
    <row r="103" spans="1:11" x14ac:dyDescent="0.25">
      <c r="A103" s="258" t="s">
        <v>61</v>
      </c>
      <c r="B103" s="258" t="s">
        <v>63</v>
      </c>
      <c r="C103" s="258" t="s">
        <v>62</v>
      </c>
      <c r="D103" s="258">
        <v>2</v>
      </c>
      <c r="E103" s="258" t="s">
        <v>41</v>
      </c>
      <c r="G103" t="str">
        <v>TBD</v>
      </c>
      <c r="H103" t="str">
        <v>Mike Griffiths</v>
      </c>
      <c r="I103" t="str">
        <v>ACP Skills</v>
      </c>
      <c r="J103">
        <v>1</v>
      </c>
      <c r="K103" t="str">
        <v>AGILE</v>
      </c>
    </row>
    <row r="104" spans="1:11" x14ac:dyDescent="0.25">
      <c r="A104" s="258" t="s">
        <v>61</v>
      </c>
      <c r="B104" s="258" t="s">
        <v>63</v>
      </c>
      <c r="C104" s="258" t="s">
        <v>62</v>
      </c>
      <c r="D104" s="258">
        <v>2</v>
      </c>
      <c r="E104" s="258" t="s">
        <v>89</v>
      </c>
      <c r="G104" t="str">
        <v>TBD</v>
      </c>
      <c r="H104" t="str">
        <v>Mike Griffiths</v>
      </c>
      <c r="I104" t="str">
        <v>PMP Skills</v>
      </c>
      <c r="J104">
        <v>1</v>
      </c>
      <c r="K104" t="str">
        <v>PM Skills</v>
      </c>
    </row>
    <row r="105" spans="1:11" x14ac:dyDescent="0.25">
      <c r="A105" s="258" t="s">
        <v>442</v>
      </c>
      <c r="B105" s="258" t="s">
        <v>184</v>
      </c>
      <c r="C105" s="258" t="s">
        <v>443</v>
      </c>
      <c r="D105" s="258">
        <v>2</v>
      </c>
      <c r="E105" s="258" t="s">
        <v>70</v>
      </c>
      <c r="G105">
        <v>0</v>
      </c>
      <c r="H105">
        <v>0</v>
      </c>
      <c r="I105">
        <v>0</v>
      </c>
      <c r="J105">
        <v>0</v>
      </c>
      <c r="K105" t="str">
        <v/>
      </c>
    </row>
    <row r="106" spans="1:11" x14ac:dyDescent="0.25">
      <c r="A106" s="258" t="s">
        <v>185</v>
      </c>
      <c r="B106" s="258" t="s">
        <v>187</v>
      </c>
      <c r="C106" s="258" t="s">
        <v>186</v>
      </c>
      <c r="D106" s="258">
        <v>4</v>
      </c>
      <c r="E106" s="258" t="s">
        <v>188</v>
      </c>
    </row>
    <row r="107" spans="1:11" x14ac:dyDescent="0.25">
      <c r="A107" s="258" t="s">
        <v>185</v>
      </c>
      <c r="B107" s="258" t="s">
        <v>187</v>
      </c>
      <c r="C107" s="258" t="s">
        <v>186</v>
      </c>
      <c r="D107" s="258">
        <v>4</v>
      </c>
      <c r="E107" s="258" t="s">
        <v>379</v>
      </c>
    </row>
    <row r="108" spans="1:11" x14ac:dyDescent="0.25">
      <c r="A108" s="258" t="s">
        <v>185</v>
      </c>
      <c r="B108" s="258" t="s">
        <v>187</v>
      </c>
      <c r="C108" s="258" t="s">
        <v>186</v>
      </c>
      <c r="D108" s="258">
        <v>4</v>
      </c>
      <c r="E108" s="258" t="s">
        <v>60</v>
      </c>
    </row>
    <row r="109" spans="1:11" x14ac:dyDescent="0.25">
      <c r="A109" s="258" t="s">
        <v>197</v>
      </c>
      <c r="B109" s="258" t="s">
        <v>199</v>
      </c>
      <c r="C109" s="258" t="s">
        <v>198</v>
      </c>
      <c r="D109" s="258">
        <v>1</v>
      </c>
      <c r="E109" s="258" t="s">
        <v>30</v>
      </c>
    </row>
    <row r="110" spans="1:11" x14ac:dyDescent="0.25">
      <c r="A110" s="258" t="s">
        <v>200</v>
      </c>
      <c r="B110" s="258" t="s">
        <v>199</v>
      </c>
      <c r="C110" s="258" t="s">
        <v>201</v>
      </c>
      <c r="D110" s="258">
        <v>1</v>
      </c>
      <c r="E110" s="258" t="s">
        <v>41</v>
      </c>
    </row>
    <row r="111" spans="1:11" x14ac:dyDescent="0.25">
      <c r="A111" s="258" t="s">
        <v>361</v>
      </c>
      <c r="B111" s="258" t="s">
        <v>363</v>
      </c>
      <c r="C111" s="258" t="s">
        <v>362</v>
      </c>
      <c r="D111" s="258">
        <v>2</v>
      </c>
      <c r="E111" s="258" t="s">
        <v>364</v>
      </c>
    </row>
    <row r="112" spans="1:11" x14ac:dyDescent="0.25">
      <c r="A112" s="258" t="s">
        <v>361</v>
      </c>
      <c r="B112" s="258" t="s">
        <v>363</v>
      </c>
      <c r="C112" s="258" t="s">
        <v>362</v>
      </c>
      <c r="D112" s="258">
        <v>2</v>
      </c>
      <c r="E112" s="258" t="s">
        <v>215</v>
      </c>
    </row>
    <row r="113" spans="1:5" x14ac:dyDescent="0.25">
      <c r="A113" s="258" t="s">
        <v>365</v>
      </c>
      <c r="B113" s="258" t="s">
        <v>363</v>
      </c>
      <c r="C113" s="258" t="s">
        <v>366</v>
      </c>
      <c r="D113" s="258">
        <v>2</v>
      </c>
      <c r="E113" s="258" t="s">
        <v>364</v>
      </c>
    </row>
    <row r="114" spans="1:5" x14ac:dyDescent="0.25">
      <c r="A114" s="258" t="s">
        <v>365</v>
      </c>
      <c r="B114" s="258" t="s">
        <v>363</v>
      </c>
      <c r="C114" s="258" t="s">
        <v>366</v>
      </c>
      <c r="D114" s="258">
        <v>2</v>
      </c>
      <c r="E114" s="258" t="s">
        <v>215</v>
      </c>
    </row>
    <row r="115" spans="1:5" x14ac:dyDescent="0.25">
      <c r="A115" s="258" t="s">
        <v>380</v>
      </c>
      <c r="B115" s="258" t="s">
        <v>382</v>
      </c>
      <c r="C115" s="258" t="s">
        <v>381</v>
      </c>
      <c r="D115" s="258">
        <v>4</v>
      </c>
      <c r="E115" s="258" t="s">
        <v>60</v>
      </c>
    </row>
    <row r="116" spans="1:5" x14ac:dyDescent="0.25">
      <c r="A116" s="258" t="s">
        <v>436</v>
      </c>
      <c r="B116" s="258" t="s">
        <v>308</v>
      </c>
      <c r="C116" s="258" t="s">
        <v>437</v>
      </c>
      <c r="D116" s="258">
        <v>2</v>
      </c>
      <c r="E116" s="258" t="s">
        <v>438</v>
      </c>
    </row>
    <row r="117" spans="1:5" x14ac:dyDescent="0.25">
      <c r="A117" s="258" t="s">
        <v>71</v>
      </c>
      <c r="B117" s="258" t="s">
        <v>73</v>
      </c>
      <c r="C117" s="258" t="s">
        <v>72</v>
      </c>
      <c r="D117" s="258">
        <v>2</v>
      </c>
      <c r="E117" s="258" t="s">
        <v>41</v>
      </c>
    </row>
    <row r="118" spans="1:5" x14ac:dyDescent="0.25">
      <c r="A118" s="258" t="s">
        <v>71</v>
      </c>
      <c r="B118" s="258" t="s">
        <v>73</v>
      </c>
      <c r="C118" s="258" t="s">
        <v>72</v>
      </c>
      <c r="D118" s="258">
        <v>2</v>
      </c>
      <c r="E118" s="258" t="s">
        <v>89</v>
      </c>
    </row>
    <row r="119" spans="1:5" x14ac:dyDescent="0.25">
      <c r="A119" s="258" t="s">
        <v>261</v>
      </c>
      <c r="B119" s="258" t="s">
        <v>148</v>
      </c>
      <c r="C119" s="258" t="s">
        <v>262</v>
      </c>
      <c r="D119" s="258">
        <v>3</v>
      </c>
      <c r="E119" s="258" t="s">
        <v>150</v>
      </c>
    </row>
    <row r="120" spans="1:5" x14ac:dyDescent="0.25">
      <c r="A120" s="258" t="s">
        <v>261</v>
      </c>
      <c r="B120" s="258" t="s">
        <v>148</v>
      </c>
      <c r="C120" s="258" t="s">
        <v>262</v>
      </c>
      <c r="D120" s="258">
        <v>3</v>
      </c>
      <c r="E120" s="258" t="s">
        <v>285</v>
      </c>
    </row>
    <row r="121" spans="1:5" x14ac:dyDescent="0.25">
      <c r="A121" s="258" t="s">
        <v>261</v>
      </c>
      <c r="B121" s="258" t="s">
        <v>148</v>
      </c>
      <c r="C121" s="258" t="s">
        <v>262</v>
      </c>
      <c r="D121" s="258">
        <v>3</v>
      </c>
      <c r="E121" s="258" t="s">
        <v>105</v>
      </c>
    </row>
    <row r="122" spans="1:5" x14ac:dyDescent="0.25">
      <c r="A122" s="258" t="s">
        <v>258</v>
      </c>
      <c r="B122" s="258" t="s">
        <v>148</v>
      </c>
      <c r="C122" s="258" t="s">
        <v>259</v>
      </c>
      <c r="D122" s="258">
        <v>1</v>
      </c>
      <c r="E122" s="258" t="s">
        <v>70</v>
      </c>
    </row>
    <row r="123" spans="1:5" x14ac:dyDescent="0.25">
      <c r="A123" s="258" t="s">
        <v>258</v>
      </c>
      <c r="B123" s="258" t="s">
        <v>148</v>
      </c>
      <c r="C123" s="258" t="s">
        <v>259</v>
      </c>
      <c r="D123" s="258">
        <v>1</v>
      </c>
      <c r="E123" s="258">
        <v>0</v>
      </c>
    </row>
    <row r="124" spans="1:5" x14ac:dyDescent="0.25">
      <c r="A124" s="258" t="s">
        <v>358</v>
      </c>
      <c r="B124" s="258" t="s">
        <v>148</v>
      </c>
      <c r="C124" s="258" t="s">
        <v>359</v>
      </c>
      <c r="D124" s="258">
        <v>1</v>
      </c>
      <c r="E124" s="258">
        <v>0</v>
      </c>
    </row>
    <row r="125" spans="1:5" x14ac:dyDescent="0.25">
      <c r="A125" s="258" t="s">
        <v>189</v>
      </c>
      <c r="B125" s="258" t="s">
        <v>191</v>
      </c>
      <c r="C125" s="258" t="s">
        <v>448</v>
      </c>
      <c r="D125" s="258">
        <v>0.6</v>
      </c>
      <c r="E125" s="258" t="s">
        <v>54</v>
      </c>
    </row>
    <row r="126" spans="1:5" x14ac:dyDescent="0.25">
      <c r="A126" s="258" t="s">
        <v>189</v>
      </c>
      <c r="B126" s="258" t="s">
        <v>191</v>
      </c>
      <c r="C126" s="258" t="s">
        <v>190</v>
      </c>
      <c r="D126" s="258">
        <v>0.6</v>
      </c>
      <c r="E126" s="258" t="s">
        <v>54</v>
      </c>
    </row>
    <row r="127" spans="1:5" x14ac:dyDescent="0.25">
      <c r="A127" s="258" t="s">
        <v>344</v>
      </c>
      <c r="B127" s="258" t="s">
        <v>346</v>
      </c>
      <c r="C127" s="258" t="s">
        <v>345</v>
      </c>
      <c r="D127" s="258">
        <v>2</v>
      </c>
      <c r="E127" s="258" t="s">
        <v>286</v>
      </c>
    </row>
    <row r="128" spans="1:5" x14ac:dyDescent="0.25">
      <c r="A128" s="258" t="s">
        <v>32</v>
      </c>
      <c r="B128" s="258" t="s">
        <v>34</v>
      </c>
      <c r="C128" s="258" t="s">
        <v>33</v>
      </c>
      <c r="D128" s="258">
        <v>2</v>
      </c>
      <c r="E128" s="258" t="s">
        <v>35</v>
      </c>
    </row>
    <row r="129" spans="1:5" x14ac:dyDescent="0.25">
      <c r="A129" s="258" t="s">
        <v>218</v>
      </c>
      <c r="B129" s="258" t="s">
        <v>220</v>
      </c>
      <c r="C129" s="258" t="s">
        <v>219</v>
      </c>
      <c r="D129" s="258">
        <v>2</v>
      </c>
      <c r="E129" s="258" t="s">
        <v>221</v>
      </c>
    </row>
    <row r="130" spans="1:5" x14ac:dyDescent="0.25">
      <c r="A130" s="258" t="s">
        <v>218</v>
      </c>
      <c r="B130" s="258" t="s">
        <v>220</v>
      </c>
      <c r="C130" s="258" t="s">
        <v>219</v>
      </c>
      <c r="D130" s="258">
        <v>2</v>
      </c>
      <c r="E130" s="258" t="s">
        <v>402</v>
      </c>
    </row>
    <row r="131" spans="1:5" x14ac:dyDescent="0.25">
      <c r="A131" s="258" t="s">
        <v>410</v>
      </c>
      <c r="B131" s="258" t="s">
        <v>412</v>
      </c>
      <c r="C131" s="258" t="s">
        <v>411</v>
      </c>
      <c r="D131" s="258">
        <v>2</v>
      </c>
      <c r="E131" s="258" t="s">
        <v>298</v>
      </c>
    </row>
    <row r="132" spans="1:5" x14ac:dyDescent="0.25">
      <c r="A132" s="258" t="s">
        <v>222</v>
      </c>
      <c r="B132" s="258" t="s">
        <v>224</v>
      </c>
      <c r="C132" s="258" t="s">
        <v>223</v>
      </c>
      <c r="D132" s="258">
        <v>2</v>
      </c>
      <c r="E132" s="258" t="s">
        <v>30</v>
      </c>
    </row>
    <row r="133" spans="1:5" x14ac:dyDescent="0.25">
      <c r="A133" s="258" t="s">
        <v>423</v>
      </c>
      <c r="B133" s="258" t="s">
        <v>425</v>
      </c>
      <c r="C133" s="258" t="s">
        <v>424</v>
      </c>
      <c r="D133" s="258">
        <v>2</v>
      </c>
      <c r="E133" s="258" t="s">
        <v>60</v>
      </c>
    </row>
    <row r="134" spans="1:5" x14ac:dyDescent="0.25">
      <c r="A134" s="258" t="s">
        <v>64</v>
      </c>
      <c r="B134" s="258" t="s">
        <v>66</v>
      </c>
      <c r="C134" s="258" t="s">
        <v>269</v>
      </c>
      <c r="D134" s="258">
        <v>2</v>
      </c>
      <c r="E134" s="258" t="s">
        <v>60</v>
      </c>
    </row>
    <row r="135" spans="1:5" x14ac:dyDescent="0.25">
      <c r="A135" s="258" t="s">
        <v>64</v>
      </c>
      <c r="B135" s="258" t="s">
        <v>66</v>
      </c>
      <c r="C135" s="258" t="s">
        <v>181</v>
      </c>
      <c r="D135" s="258">
        <v>2</v>
      </c>
      <c r="E135" s="258" t="s">
        <v>60</v>
      </c>
    </row>
    <row r="136" spans="1:5" x14ac:dyDescent="0.25">
      <c r="A136" s="258" t="s">
        <v>64</v>
      </c>
      <c r="B136" s="258" t="s">
        <v>66</v>
      </c>
      <c r="C136" s="258" t="s">
        <v>181</v>
      </c>
      <c r="D136" s="258">
        <v>2</v>
      </c>
      <c r="E136" s="258" t="s">
        <v>60</v>
      </c>
    </row>
    <row r="137" spans="1:5" x14ac:dyDescent="0.25">
      <c r="A137" s="258" t="s">
        <v>387</v>
      </c>
      <c r="B137" s="258" t="s">
        <v>389</v>
      </c>
      <c r="C137" s="258" t="s">
        <v>388</v>
      </c>
      <c r="D137" s="258">
        <v>1</v>
      </c>
      <c r="E137" s="258" t="s">
        <v>60</v>
      </c>
    </row>
    <row r="138" spans="1:5" x14ac:dyDescent="0.25">
      <c r="A138" s="258" t="s">
        <v>387</v>
      </c>
      <c r="B138" s="258" t="s">
        <v>389</v>
      </c>
      <c r="C138" s="258" t="s">
        <v>388</v>
      </c>
      <c r="D138" s="258">
        <v>1</v>
      </c>
      <c r="E138" s="258" t="s">
        <v>427</v>
      </c>
    </row>
    <row r="139" spans="1:5" x14ac:dyDescent="0.25">
      <c r="A139" s="258" t="s">
        <v>168</v>
      </c>
      <c r="B139" s="258" t="s">
        <v>148</v>
      </c>
      <c r="C139" s="258" t="s">
        <v>169</v>
      </c>
      <c r="D139" s="258">
        <v>2</v>
      </c>
      <c r="E139" s="258" t="s">
        <v>150</v>
      </c>
    </row>
    <row r="140" spans="1:5" x14ac:dyDescent="0.25">
      <c r="A140" s="258" t="s">
        <v>168</v>
      </c>
      <c r="B140" s="258" t="s">
        <v>148</v>
      </c>
      <c r="C140" s="258" t="s">
        <v>169</v>
      </c>
      <c r="D140" s="258">
        <v>2</v>
      </c>
      <c r="E140" s="258">
        <v>0</v>
      </c>
    </row>
    <row r="141" spans="1:5" x14ac:dyDescent="0.25">
      <c r="A141" s="258" t="s">
        <v>171</v>
      </c>
      <c r="B141" s="258" t="s">
        <v>148</v>
      </c>
      <c r="C141" s="258" t="s">
        <v>172</v>
      </c>
      <c r="D141" s="258">
        <v>2</v>
      </c>
      <c r="E141" s="258" t="s">
        <v>150</v>
      </c>
    </row>
    <row r="142" spans="1:5" x14ac:dyDescent="0.25">
      <c r="A142" s="258" t="s">
        <v>171</v>
      </c>
      <c r="B142" s="258" t="s">
        <v>170</v>
      </c>
      <c r="C142" s="258" t="s">
        <v>172</v>
      </c>
      <c r="D142" s="258">
        <v>2</v>
      </c>
      <c r="E142" s="258" t="s">
        <v>150</v>
      </c>
    </row>
    <row r="143" spans="1:5" x14ac:dyDescent="0.25">
      <c r="A143" s="258" t="s">
        <v>146</v>
      </c>
      <c r="B143" s="258" t="s">
        <v>148</v>
      </c>
      <c r="C143" s="258" t="s">
        <v>147</v>
      </c>
      <c r="D143" s="258">
        <v>2</v>
      </c>
      <c r="E143" s="258" t="s">
        <v>150</v>
      </c>
    </row>
    <row r="144" spans="1:5" x14ac:dyDescent="0.25">
      <c r="A144" s="258" t="s">
        <v>146</v>
      </c>
      <c r="B144" s="258" t="s">
        <v>170</v>
      </c>
      <c r="C144" s="258" t="s">
        <v>147</v>
      </c>
      <c r="D144" s="258">
        <v>2</v>
      </c>
      <c r="E144" s="258" t="s">
        <v>150</v>
      </c>
    </row>
    <row r="145" spans="1:5" x14ac:dyDescent="0.25">
      <c r="A145" s="258" t="s">
        <v>86</v>
      </c>
      <c r="B145" s="258" t="s">
        <v>88</v>
      </c>
      <c r="C145" s="258" t="s">
        <v>87</v>
      </c>
      <c r="D145" s="258">
        <v>3</v>
      </c>
      <c r="E145" s="258" t="s">
        <v>89</v>
      </c>
    </row>
    <row r="146" spans="1:5" x14ac:dyDescent="0.25">
      <c r="A146" s="258" t="s">
        <v>256</v>
      </c>
      <c r="B146" s="258" t="s">
        <v>76</v>
      </c>
      <c r="C146" s="258" t="s">
        <v>257</v>
      </c>
      <c r="D146" s="258">
        <v>3</v>
      </c>
      <c r="E146" s="258" t="s">
        <v>105</v>
      </c>
    </row>
    <row r="147" spans="1:5" x14ac:dyDescent="0.25">
      <c r="A147" s="258" t="s">
        <v>229</v>
      </c>
      <c r="B147" s="258" t="s">
        <v>231</v>
      </c>
      <c r="C147" s="258" t="s">
        <v>230</v>
      </c>
      <c r="D147" s="258">
        <v>3</v>
      </c>
      <c r="E147" s="258" t="s">
        <v>54</v>
      </c>
    </row>
    <row r="148" spans="1:5" x14ac:dyDescent="0.25">
      <c r="A148" s="258" t="s">
        <v>350</v>
      </c>
      <c r="B148" s="258" t="s">
        <v>352</v>
      </c>
      <c r="C148" s="258" t="s">
        <v>351</v>
      </c>
      <c r="D148" s="258">
        <v>2</v>
      </c>
      <c r="E148" s="258" t="s">
        <v>286</v>
      </c>
    </row>
    <row r="149" spans="1:5" x14ac:dyDescent="0.25">
      <c r="A149" s="258" t="s">
        <v>310</v>
      </c>
      <c r="B149" s="258" t="s">
        <v>154</v>
      </c>
      <c r="C149" s="258" t="s">
        <v>311</v>
      </c>
      <c r="D149" s="258">
        <v>4</v>
      </c>
      <c r="E149" s="258" t="s">
        <v>54</v>
      </c>
    </row>
    <row r="150" spans="1:5" x14ac:dyDescent="0.25">
      <c r="A150" s="258" t="s">
        <v>23</v>
      </c>
      <c r="B150" s="258" t="s">
        <v>25</v>
      </c>
      <c r="C150" s="258" t="s">
        <v>267</v>
      </c>
      <c r="D150" s="258">
        <v>2</v>
      </c>
      <c r="E150" s="258" t="s">
        <v>268</v>
      </c>
    </row>
    <row r="151" spans="1:5" x14ac:dyDescent="0.25">
      <c r="A151" s="258" t="s">
        <v>23</v>
      </c>
      <c r="B151" s="258" t="s">
        <v>25</v>
      </c>
      <c r="C151" s="258" t="s">
        <v>267</v>
      </c>
      <c r="D151" s="258">
        <v>2</v>
      </c>
      <c r="E151" s="258" t="s">
        <v>30</v>
      </c>
    </row>
    <row r="152" spans="1:5" x14ac:dyDescent="0.25">
      <c r="A152" s="258" t="s">
        <v>298</v>
      </c>
      <c r="B152" s="258" t="s">
        <v>300</v>
      </c>
      <c r="C152" s="258" t="s">
        <v>299</v>
      </c>
      <c r="D152" s="258">
        <v>2</v>
      </c>
      <c r="E152" s="258" t="s">
        <v>41</v>
      </c>
    </row>
    <row r="153" spans="1:5" x14ac:dyDescent="0.25">
      <c r="A153" s="258" t="s">
        <v>298</v>
      </c>
      <c r="B153" s="258" t="s">
        <v>300</v>
      </c>
      <c r="C153" s="258" t="s">
        <v>301</v>
      </c>
      <c r="D153" s="258">
        <v>2</v>
      </c>
      <c r="E153" s="258" t="s">
        <v>285</v>
      </c>
    </row>
    <row r="154" spans="1:5" x14ac:dyDescent="0.25">
      <c r="A154" s="258" t="s">
        <v>404</v>
      </c>
      <c r="B154" s="258" t="s">
        <v>34</v>
      </c>
      <c r="C154" s="258" t="s">
        <v>405</v>
      </c>
      <c r="D154" s="258">
        <v>2</v>
      </c>
      <c r="E154" s="258" t="s">
        <v>406</v>
      </c>
    </row>
    <row r="155" spans="1:5" x14ac:dyDescent="0.25">
      <c r="A155" s="258" t="s">
        <v>170</v>
      </c>
      <c r="B155" s="258">
        <v>0</v>
      </c>
      <c r="C155" s="258" t="s">
        <v>247</v>
      </c>
      <c r="D155" s="258">
        <v>2</v>
      </c>
      <c r="E155" s="258" t="s">
        <v>403</v>
      </c>
    </row>
    <row r="156" spans="1:5" x14ac:dyDescent="0.25">
      <c r="A156" s="258" t="s">
        <v>170</v>
      </c>
      <c r="B156" s="258" t="s">
        <v>348</v>
      </c>
      <c r="C156" s="258" t="s">
        <v>347</v>
      </c>
      <c r="D156" s="258">
        <v>1</v>
      </c>
      <c r="E156" s="258" t="s">
        <v>286</v>
      </c>
    </row>
    <row r="157" spans="1:5" x14ac:dyDescent="0.25">
      <c r="A157" s="259" t="s">
        <v>170</v>
      </c>
      <c r="B157" s="259" t="s">
        <v>348</v>
      </c>
      <c r="C157" s="259" t="s">
        <v>349</v>
      </c>
      <c r="D157" s="259">
        <v>1</v>
      </c>
      <c r="E157" s="259" t="s">
        <v>105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5705-C64E-4894-8A32-96D8373F85C6}">
  <sheetPr codeName="Sheet6"/>
  <dimension ref="A1:D106"/>
  <sheetViews>
    <sheetView workbookViewId="0">
      <selection activeCell="B17" sqref="B17"/>
    </sheetView>
  </sheetViews>
  <sheetFormatPr defaultRowHeight="15" x14ac:dyDescent="0.25"/>
  <cols>
    <col min="1" max="1" width="9.5703125" bestFit="1" customWidth="1"/>
    <col min="2" max="2" width="29.140625" bestFit="1" customWidth="1"/>
    <col min="3" max="3" width="99.28515625" bestFit="1" customWidth="1"/>
    <col min="4" max="4" width="13.5703125" bestFit="1" customWidth="1"/>
  </cols>
  <sheetData>
    <row r="1" spans="1:4" x14ac:dyDescent="0.25">
      <c r="A1" t="str" cm="1">
        <f t="array" ref="A1:D106">_xlfn.UNIQUE('CourseList0.0'!A:D)</f>
        <v>Course_ID</v>
      </c>
      <c r="B1" t="str">
        <v>Instructor</v>
      </c>
      <c r="C1" t="str">
        <v>Course_Name</v>
      </c>
      <c r="D1" t="str">
        <v>Duration_Days</v>
      </c>
    </row>
    <row r="2" spans="1:4" x14ac:dyDescent="0.25">
      <c r="A2" t="str">
        <v>0024D</v>
      </c>
      <c r="B2" t="str">
        <v>Joyce Brown, Thomas McCabe</v>
      </c>
      <c r="C2" t="str">
        <v>A Non-Bootcamp Review of the PMBOK® Guide for Real-World Practitioners</v>
      </c>
      <c r="D2">
        <v>4</v>
      </c>
    </row>
    <row r="3" spans="1:4" x14ac:dyDescent="0.25">
      <c r="A3" t="str">
        <v>0032D</v>
      </c>
      <c r="B3" t="str">
        <v>Lisa Hammer, David Newman</v>
      </c>
      <c r="C3" t="str">
        <v>Adapt, Adopt, and Accomplish for Project Management Success</v>
      </c>
      <c r="D3">
        <v>2</v>
      </c>
    </row>
    <row r="4" spans="1:4" x14ac:dyDescent="0.25">
      <c r="A4" t="str">
        <v>0082D</v>
      </c>
      <c r="B4" t="str">
        <v>Lisa Hammer, David Newman</v>
      </c>
      <c r="C4" t="str">
        <v>Agile Fundamentals: Delivering Value</v>
      </c>
      <c r="D4">
        <v>2</v>
      </c>
    </row>
    <row r="5" spans="1:4" x14ac:dyDescent="0.25">
      <c r="A5" t="str">
        <v>0102D</v>
      </c>
      <c r="B5" t="str">
        <v>Mohamed Khalifa</v>
      </c>
      <c r="C5" t="str">
        <v>Aligning the Organization Through Portfolio Management</v>
      </c>
      <c r="D5">
        <v>2</v>
      </c>
    </row>
    <row r="6" spans="1:4" x14ac:dyDescent="0.25">
      <c r="A6" t="str">
        <v>0132D</v>
      </c>
      <c r="B6" t="str">
        <v>Kristy Tan Neckowicz</v>
      </c>
      <c r="C6" t="str">
        <v>Build High-Performing Teams: Communicate, Motivate, Excel</v>
      </c>
      <c r="D6">
        <v>2</v>
      </c>
    </row>
    <row r="7" spans="1:4" x14ac:dyDescent="0.25">
      <c r="A7" t="str">
        <v>0182D</v>
      </c>
      <c r="B7" t="str">
        <v>Klaus Nielsen</v>
      </c>
      <c r="C7" t="str">
        <v>Business Case—Best Practices for Success</v>
      </c>
      <c r="D7">
        <v>2</v>
      </c>
    </row>
    <row r="8" spans="1:4" x14ac:dyDescent="0.25">
      <c r="A8" t="str">
        <v>0182D</v>
      </c>
      <c r="B8" t="str">
        <v>Klaus Nielsen</v>
      </c>
      <c r="C8" t="str">
        <v>Mastering Project Management Principles</v>
      </c>
      <c r="D8">
        <v>2</v>
      </c>
    </row>
    <row r="9" spans="1:4" x14ac:dyDescent="0.25">
      <c r="A9" t="str">
        <v>0192D</v>
      </c>
      <c r="B9" t="str">
        <v>Iain Fraser</v>
      </c>
      <c r="C9" t="str">
        <v>Change Management: Navigate the Future</v>
      </c>
      <c r="D9">
        <v>2</v>
      </c>
    </row>
    <row r="10" spans="1:4" x14ac:dyDescent="0.25">
      <c r="A10" t="str">
        <v>0282D</v>
      </c>
      <c r="B10" t="str">
        <v>Hammer and Newman</v>
      </c>
      <c r="C10" t="str">
        <v>Creative Problem-Solving: Think Beyond the Linear</v>
      </c>
      <c r="D10">
        <v>2</v>
      </c>
    </row>
    <row r="11" spans="1:4" x14ac:dyDescent="0.25">
      <c r="A11" t="str">
        <v>0282D</v>
      </c>
      <c r="B11" t="str">
        <v>Lisa Hammer, David Newman</v>
      </c>
      <c r="C11" t="str">
        <v>Creative Problem-Solving: Think Beyond the Linear</v>
      </c>
      <c r="D11">
        <v>2</v>
      </c>
    </row>
    <row r="12" spans="1:4" x14ac:dyDescent="0.25">
      <c r="A12" t="str">
        <v>0342D</v>
      </c>
      <c r="B12" t="str">
        <v>Traci Duez</v>
      </c>
      <c r="C12" t="str">
        <v>Developing Your EQ to RISE (Reach, Inspire, Serve, and Engage)</v>
      </c>
      <c r="D12">
        <v>2</v>
      </c>
    </row>
    <row r="13" spans="1:4" x14ac:dyDescent="0.25">
      <c r="A13" t="str">
        <v>0342D</v>
      </c>
      <c r="B13" t="str">
        <v>Traci Duez</v>
      </c>
      <c r="C13" t="str">
        <v xml:space="preserve">Developing Your EQ to RISE (Reach, Inspire, Serve, and Engage) (Beyond Boss Mode from Control to co-elevation) </v>
      </c>
      <c r="D13">
        <v>2</v>
      </c>
    </row>
    <row r="14" spans="1:4" x14ac:dyDescent="0.25">
      <c r="A14" t="str">
        <v>0372D</v>
      </c>
      <c r="B14" t="str">
        <v>NK Shrivastava</v>
      </c>
      <c r="C14" t="str">
        <v>Hybrid Agility: Blend Traditional and Adaptive Methods</v>
      </c>
      <c r="D14">
        <v>2</v>
      </c>
    </row>
    <row r="15" spans="1:4" x14ac:dyDescent="0.25">
      <c r="A15" t="str">
        <v>0402D</v>
      </c>
      <c r="B15" t="str">
        <v>Jeff Panning</v>
      </c>
      <c r="C15" t="str">
        <v>How to Capture Customer Requirements and Develop Project Scope</v>
      </c>
      <c r="D15">
        <v>2</v>
      </c>
    </row>
    <row r="16" spans="1:4" x14ac:dyDescent="0.25">
      <c r="A16" t="str">
        <v>0422D</v>
      </c>
      <c r="B16" t="str">
        <v>Kandis Porter</v>
      </c>
      <c r="C16" t="str">
        <v>How to Think Strategically and Apply Business Acumen</v>
      </c>
      <c r="D16">
        <v>2</v>
      </c>
    </row>
    <row r="17" spans="1:4" x14ac:dyDescent="0.25">
      <c r="A17" t="str">
        <v>0432D</v>
      </c>
      <c r="B17" t="str">
        <v>Joseph Reed</v>
      </c>
      <c r="C17" t="str">
        <v>Influencing Without Authority</v>
      </c>
      <c r="D17">
        <v>2</v>
      </c>
    </row>
    <row r="18" spans="1:4" x14ac:dyDescent="0.25">
      <c r="A18" t="str">
        <v>0482D</v>
      </c>
      <c r="B18" t="str">
        <v>Greg Githens</v>
      </c>
      <c r="C18" t="str">
        <v>Leading Strategic Initiatives (Program Management)</v>
      </c>
      <c r="D18">
        <v>2</v>
      </c>
    </row>
    <row r="19" spans="1:4" x14ac:dyDescent="0.25">
      <c r="A19" t="str">
        <v>0541D</v>
      </c>
      <c r="B19" t="str">
        <v>Thomas Jarocki</v>
      </c>
      <c r="C19" t="str">
        <v>Managing the Human Side of Projects</v>
      </c>
      <c r="D19">
        <v>1</v>
      </c>
    </row>
    <row r="20" spans="1:4" x14ac:dyDescent="0.25">
      <c r="A20" t="str">
        <v>0552D</v>
      </c>
      <c r="B20" t="str">
        <v>Brad Bigelow</v>
      </c>
      <c r="C20" t="str">
        <v>Scope Management Secrets</v>
      </c>
      <c r="D20">
        <v>2</v>
      </c>
    </row>
    <row r="21" spans="1:4" x14ac:dyDescent="0.25">
      <c r="A21" t="str">
        <v>0562D</v>
      </c>
      <c r="B21" t="str">
        <v>Iain Fraser</v>
      </c>
      <c r="C21" t="str">
        <v>Value Management – Designed, Built, and Operationalized for Success</v>
      </c>
      <c r="D21">
        <v>2</v>
      </c>
    </row>
    <row r="22" spans="1:4" x14ac:dyDescent="0.25">
      <c r="A22" t="str">
        <v>0582D</v>
      </c>
      <c r="B22" t="str">
        <v>Scott Burd</v>
      </c>
      <c r="C22" t="str">
        <v>Measure What Matters: Track Benefits Realization</v>
      </c>
      <c r="D22">
        <v>2</v>
      </c>
    </row>
    <row r="23" spans="1:4" x14ac:dyDescent="0.25">
      <c r="A23" t="str">
        <v>0612D</v>
      </c>
      <c r="B23" t="str">
        <v>Vijay Verma</v>
      </c>
      <c r="C23" t="str">
        <v>Negotiate to Win: Build Partnerships, Secure Resources</v>
      </c>
      <c r="D23">
        <v>2</v>
      </c>
    </row>
    <row r="24" spans="1:4" x14ac:dyDescent="0.25">
      <c r="A24" t="str">
        <v>0621D</v>
      </c>
      <c r="B24" t="str">
        <v>Jack Duggal</v>
      </c>
      <c r="C24" t="str">
        <v>Lead Through Uncertainty: Next-Gen Communication Skills</v>
      </c>
      <c r="D24">
        <v>1</v>
      </c>
    </row>
    <row r="25" spans="1:4" x14ac:dyDescent="0.25">
      <c r="A25" t="str">
        <v>0643D</v>
      </c>
      <c r="B25" t="str">
        <v>Thomas Jarocki</v>
      </c>
      <c r="C25" t="str">
        <v>Orchestrate Total Success: People, Projects, Change</v>
      </c>
      <c r="D25">
        <v>3</v>
      </c>
    </row>
    <row r="26" spans="1:4" x14ac:dyDescent="0.25">
      <c r="A26" t="str">
        <v>0672D</v>
      </c>
      <c r="B26" t="str">
        <v>Brad Malone</v>
      </c>
      <c r="C26" t="str">
        <v>Proactive Risk Management</v>
      </c>
      <c r="D26">
        <v>2</v>
      </c>
    </row>
    <row r="27" spans="1:4" x14ac:dyDescent="0.25">
      <c r="A27" t="str">
        <v>0682D</v>
      </c>
      <c r="B27" t="str">
        <v>Michel Thiry</v>
      </c>
      <c r="C27" t="str">
        <v>Program Management Adaptive Practices</v>
      </c>
      <c r="D27">
        <v>2</v>
      </c>
    </row>
    <row r="28" spans="1:4" x14ac:dyDescent="0.25">
      <c r="A28" t="str">
        <v>0694D</v>
      </c>
      <c r="B28" t="str">
        <v>Michel Thiry</v>
      </c>
      <c r="C28" t="str">
        <v>Program Management Master Class</v>
      </c>
      <c r="D28">
        <v>4</v>
      </c>
    </row>
    <row r="29" spans="1:4" x14ac:dyDescent="0.25">
      <c r="A29" t="str">
        <v>0694D</v>
      </c>
      <c r="B29" t="str">
        <v>Michel Thiry or Greg Martinez</v>
      </c>
      <c r="C29" t="str">
        <v>Program Management Master Class</v>
      </c>
      <c r="D29">
        <v>4</v>
      </c>
    </row>
    <row r="30" spans="1:4" x14ac:dyDescent="0.25">
      <c r="A30" t="str">
        <v>0724D</v>
      </c>
      <c r="B30" t="str">
        <v>Brad Malone</v>
      </c>
      <c r="C30" t="str">
        <v>From PMBOK® to Practice: Building Your PM Competency Foundation</v>
      </c>
      <c r="D30">
        <v>4</v>
      </c>
    </row>
    <row r="31" spans="1:4" x14ac:dyDescent="0.25">
      <c r="A31" t="str">
        <v>0742D</v>
      </c>
      <c r="B31" t="str">
        <v>April Callis-Birchmeier</v>
      </c>
      <c r="C31" t="str">
        <v>Change Acceleration: Simplify and Succeed</v>
      </c>
      <c r="D31">
        <v>2</v>
      </c>
    </row>
    <row r="32" spans="1:4" x14ac:dyDescent="0.25">
      <c r="A32" t="str">
        <v>0784H</v>
      </c>
      <c r="B32" t="str">
        <v>Teresa Lawrence</v>
      </c>
      <c r="C32" t="str">
        <v>Solve the Problem, Not the Symptom</v>
      </c>
      <c r="D32">
        <v>0.5</v>
      </c>
    </row>
    <row r="33" spans="1:4" x14ac:dyDescent="0.25">
      <c r="A33" t="str">
        <v>0823D</v>
      </c>
      <c r="B33" t="str">
        <v>Joyce Brown, Thomas McCabe</v>
      </c>
      <c r="C33" t="str">
        <v>Strategic Portfolio Management</v>
      </c>
      <c r="D33">
        <v>3</v>
      </c>
    </row>
    <row r="34" spans="1:4" x14ac:dyDescent="0.25">
      <c r="A34" t="str">
        <v>0872D</v>
      </c>
      <c r="B34" t="str">
        <v>Drew Clark</v>
      </c>
      <c r="C34" t="str">
        <v>Drive Digital Transformation at Scale</v>
      </c>
      <c r="D34">
        <v>2</v>
      </c>
    </row>
    <row r="35" spans="1:4" x14ac:dyDescent="0.25">
      <c r="A35" t="str">
        <v>0904D</v>
      </c>
      <c r="B35" t="str">
        <v>Eric Foss</v>
      </c>
      <c r="C35" t="str">
        <v>Evolve Your PMO</v>
      </c>
      <c r="D35">
        <v>4</v>
      </c>
    </row>
    <row r="36" spans="1:4" x14ac:dyDescent="0.25">
      <c r="A36" t="str">
        <v>0951D</v>
      </c>
      <c r="B36" t="str">
        <v>Drew Clark</v>
      </c>
      <c r="C36" t="str">
        <v>Agile Leadership for Digital Transformation</v>
      </c>
      <c r="D36">
        <v>1</v>
      </c>
    </row>
    <row r="37" spans="1:4" x14ac:dyDescent="0.25">
      <c r="A37" t="str">
        <v>1022D</v>
      </c>
      <c r="B37" t="str">
        <v>Traci Duez</v>
      </c>
      <c r="C37" t="str">
        <v>Leadership Brilliance: Unlock Your Confidence and Courage</v>
      </c>
      <c r="D37">
        <v>2</v>
      </c>
    </row>
    <row r="38" spans="1:4" x14ac:dyDescent="0.25">
      <c r="A38" t="str">
        <v>1042D</v>
      </c>
      <c r="B38" t="str">
        <v>Teresa Lawrence</v>
      </c>
      <c r="C38" t="str">
        <v>PM Tools &amp; Techniques: Facilitate Creative Solutions</v>
      </c>
      <c r="D38">
        <v>2</v>
      </c>
    </row>
    <row r="39" spans="1:4" x14ac:dyDescent="0.25">
      <c r="A39" t="str">
        <v>1074H</v>
      </c>
      <c r="B39" t="str">
        <v>Kathy Mendias</v>
      </c>
      <c r="C39" t="str">
        <v xml:space="preserve">  Communication GPS: Keep Your Project on Track</v>
      </c>
      <c r="D39">
        <v>0.5</v>
      </c>
    </row>
    <row r="40" spans="1:4" x14ac:dyDescent="0.25">
      <c r="A40" t="str">
        <v>1074H</v>
      </c>
      <c r="B40" t="str">
        <v>Kathy Mendias</v>
      </c>
      <c r="C40" t="str">
        <v>Communication GPS: Keep Your Project on Track</v>
      </c>
      <c r="D40">
        <v>0.5</v>
      </c>
    </row>
    <row r="41" spans="1:4" x14ac:dyDescent="0.25">
      <c r="A41" t="str">
        <v>1091D</v>
      </c>
      <c r="B41" t="str">
        <v>Greta Blash</v>
      </c>
      <c r="C41" t="str">
        <v>Business Analysis Strategies: Enable Project Success</v>
      </c>
      <c r="D41">
        <v>1</v>
      </c>
    </row>
    <row r="42" spans="1:4" x14ac:dyDescent="0.25">
      <c r="A42" t="str">
        <v>1101D</v>
      </c>
      <c r="B42" t="str">
        <v>Greta Blash</v>
      </c>
      <c r="C42" t="str">
        <v>Hybrid Project Management: The Best of Both Worlds</v>
      </c>
      <c r="D42">
        <v>1</v>
      </c>
    </row>
    <row r="43" spans="1:4" x14ac:dyDescent="0.25">
      <c r="A43" t="str">
        <v>1101D</v>
      </c>
      <c r="B43" t="str">
        <v>Greta Blash</v>
      </c>
      <c r="C43" t="str">
        <v>Hybrid Project Management: The Best of Both Worlds</v>
      </c>
      <c r="D43">
        <v>2</v>
      </c>
    </row>
    <row r="44" spans="1:4" x14ac:dyDescent="0.25">
      <c r="A44" t="str">
        <v>1132D</v>
      </c>
      <c r="B44" t="str">
        <v>Jack Duggal</v>
      </c>
      <c r="C44" t="str">
        <v>Become a Changemaker: Transform Organizations</v>
      </c>
      <c r="D44">
        <v>2</v>
      </c>
    </row>
    <row r="45" spans="1:4" x14ac:dyDescent="0.25">
      <c r="A45" t="str">
        <v>1203D</v>
      </c>
      <c r="B45" t="str">
        <v>Oscar Wasilik</v>
      </c>
      <c r="C45" t="str">
        <v>Governance That Works: Psychology, Strategy and Tools</v>
      </c>
      <c r="D45">
        <v>3</v>
      </c>
    </row>
    <row r="46" spans="1:4" x14ac:dyDescent="0.25">
      <c r="A46" t="str">
        <v>1211D</v>
      </c>
      <c r="B46" t="str">
        <v>Klaus Nielsen</v>
      </c>
      <c r="C46" t="str">
        <v>Master the Principles: Accelerate Project Success</v>
      </c>
      <c r="D46">
        <v>1</v>
      </c>
    </row>
    <row r="47" spans="1:4" x14ac:dyDescent="0.25">
      <c r="A47" t="str">
        <v>1243D</v>
      </c>
      <c r="B47" t="str">
        <v>Robert Bogue</v>
      </c>
      <c r="C47" t="str">
        <v>Change Management for Project Success</v>
      </c>
      <c r="D47">
        <v>3</v>
      </c>
    </row>
    <row r="48" spans="1:4" x14ac:dyDescent="0.25">
      <c r="A48" t="str">
        <v>1251D</v>
      </c>
      <c r="B48" t="str">
        <v>Subash Racoojmar</v>
      </c>
      <c r="C48" t="str">
        <v>Psychological Safety at Work</v>
      </c>
      <c r="D48">
        <v>1</v>
      </c>
    </row>
    <row r="49" spans="1:4" x14ac:dyDescent="0.25">
      <c r="A49" t="str">
        <v>1344H</v>
      </c>
      <c r="B49" t="str">
        <v>Carl Pritchard</v>
      </c>
      <c r="C49" t="str">
        <v>Adaptive Project Management</v>
      </c>
      <c r="D49">
        <v>0.6</v>
      </c>
    </row>
    <row r="50" spans="1:4" x14ac:dyDescent="0.25">
      <c r="A50" t="str">
        <v>1394H</v>
      </c>
      <c r="B50" t="str">
        <v>Carlene Szostak</v>
      </c>
      <c r="C50" t="str">
        <v>Thrive in the AI Era: Future-Ready PM Skills</v>
      </c>
      <c r="D50">
        <v>0.5</v>
      </c>
    </row>
    <row r="51" spans="1:4" x14ac:dyDescent="0.25">
      <c r="A51" t="str">
        <v>1402D</v>
      </c>
      <c r="B51" t="str">
        <v>Esra Tepeli</v>
      </c>
      <c r="C51" t="str">
        <v>Enterprise Risk Management: Master Complex Projects</v>
      </c>
      <c r="D51">
        <v>2</v>
      </c>
    </row>
    <row r="52" spans="1:4" x14ac:dyDescent="0.25">
      <c r="A52" t="str">
        <v>1414H</v>
      </c>
      <c r="B52" t="str">
        <v>Teresa Lawrence</v>
      </c>
      <c r="C52" t="str">
        <v>Cognitive Diversity: Leverage Your Thinking Style</v>
      </c>
      <c r="D52">
        <v>0.5</v>
      </c>
    </row>
    <row r="53" spans="1:4" x14ac:dyDescent="0.25">
      <c r="A53" t="str">
        <v>1421D</v>
      </c>
      <c r="B53" t="str">
        <v>Esra Tepeli</v>
      </c>
      <c r="C53" t="str">
        <v>AI for Strategic Decisions: Leveraging Analysis</v>
      </c>
      <c r="D53">
        <v>1</v>
      </c>
    </row>
    <row r="54" spans="1:4" x14ac:dyDescent="0.25">
      <c r="A54" t="str">
        <v>1464D</v>
      </c>
      <c r="B54" t="str">
        <v>Jack Duggal</v>
      </c>
      <c r="C54" t="str">
        <v>Next-Gen PMO: Build for Uncertainty</v>
      </c>
      <c r="D54">
        <v>4</v>
      </c>
    </row>
    <row r="55" spans="1:4" x14ac:dyDescent="0.25">
      <c r="A55" t="str">
        <v>1482D</v>
      </c>
      <c r="B55" t="str">
        <v>Oscar Wasilik</v>
      </c>
      <c r="C55" t="str">
        <v>Artificial Intelligence-Powered Project Excellence: Roadmaps, Success Strategies, and Practical Tools</v>
      </c>
      <c r="D55">
        <v>2</v>
      </c>
    </row>
    <row r="56" spans="1:4" x14ac:dyDescent="0.25">
      <c r="A56" t="str">
        <v>1492D</v>
      </c>
      <c r="B56" t="str">
        <v>Klaus Nielsen</v>
      </c>
      <c r="C56" t="str">
        <v>Mastering Project Management Principles</v>
      </c>
      <c r="D56">
        <v>2</v>
      </c>
    </row>
    <row r="57" spans="1:4" x14ac:dyDescent="0.25">
      <c r="A57" t="str">
        <v>1524H</v>
      </c>
      <c r="B57" t="str">
        <v>Carl Pritchard</v>
      </c>
      <c r="C57" t="str">
        <v>The Engaged, Empowered, and Happy Stakeholder </v>
      </c>
      <c r="D57">
        <v>0.5</v>
      </c>
    </row>
    <row r="58" spans="1:4" x14ac:dyDescent="0.25">
      <c r="A58" t="str">
        <v>1542D</v>
      </c>
      <c r="B58" t="str">
        <v>Jack Duggal</v>
      </c>
      <c r="C58" t="str">
        <v>Power Skills: Lead, Influence, and Navigate</v>
      </c>
      <c r="D58">
        <v>2</v>
      </c>
    </row>
    <row r="59" spans="1:4" x14ac:dyDescent="0.25">
      <c r="A59" t="str">
        <v>1552D</v>
      </c>
      <c r="B59" t="str">
        <v>Oscar Wasilik</v>
      </c>
      <c r="C59" t="str">
        <v>Artificial Intelligence Applied Skills: Unlocking Project Automation and Efficiency Gains</v>
      </c>
      <c r="D59">
        <v>2</v>
      </c>
    </row>
    <row r="60" spans="1:4" x14ac:dyDescent="0.25">
      <c r="A60" t="str">
        <v>1602D</v>
      </c>
      <c r="B60" t="str">
        <v>Brad Malone</v>
      </c>
      <c r="C60" t="str">
        <v>Project Management Foundations: Launch Your Success</v>
      </c>
      <c r="D60">
        <v>2</v>
      </c>
    </row>
    <row r="61" spans="1:4" x14ac:dyDescent="0.25">
      <c r="A61" t="str">
        <v>1641D</v>
      </c>
      <c r="B61" t="str">
        <v>Annie Sheehan</v>
      </c>
      <c r="C61" t="str">
        <v>Courageous Sponsorship</v>
      </c>
      <c r="D61">
        <v>1</v>
      </c>
    </row>
    <row r="62" spans="1:4" x14ac:dyDescent="0.25">
      <c r="A62" t="str">
        <v>1651D</v>
      </c>
      <c r="B62" t="str">
        <v>Annie Sheehan</v>
      </c>
      <c r="C62" t="str">
        <v>Empowering Leaders to Execute Strategically</v>
      </c>
      <c r="D62">
        <v>1</v>
      </c>
    </row>
    <row r="63" spans="1:4" x14ac:dyDescent="0.25">
      <c r="A63" t="str">
        <v>1681D</v>
      </c>
      <c r="B63" t="str">
        <v>Peter Ivanov</v>
      </c>
      <c r="C63" t="str">
        <v>Embracing AI in your Projects</v>
      </c>
      <c r="D63">
        <v>1</v>
      </c>
    </row>
    <row r="64" spans="1:4" x14ac:dyDescent="0.25">
      <c r="A64" t="str">
        <v>1692D</v>
      </c>
      <c r="B64" t="str">
        <v>Lisa DiTullio</v>
      </c>
      <c r="C64" t="str">
        <v>Project TLC:  Teamwork, Leadership, Communications</v>
      </c>
      <c r="D64">
        <v>2</v>
      </c>
    </row>
    <row r="65" spans="1:4" x14ac:dyDescent="0.25">
      <c r="A65" t="str">
        <v>1702D</v>
      </c>
      <c r="B65" t="str">
        <v>Peter Ivanov</v>
      </c>
      <c r="C65" t="str">
        <v>AI Agents for Project Excellence</v>
      </c>
      <c r="D65">
        <v>2</v>
      </c>
    </row>
    <row r="66" spans="1:4" x14ac:dyDescent="0.25">
      <c r="A66" t="str">
        <v>1712D</v>
      </c>
      <c r="B66" t="str">
        <v>Carl Pritchard</v>
      </c>
      <c r="C66" t="str">
        <v>Risk Management Essentials</v>
      </c>
      <c r="D66">
        <v>2</v>
      </c>
    </row>
    <row r="67" spans="1:4" x14ac:dyDescent="0.25">
      <c r="A67" t="str">
        <v>1724D</v>
      </c>
      <c r="B67" t="str">
        <v>Sunny Faronbi</v>
      </c>
      <c r="C67" t="str">
        <v>Lead with Emotional Intelligence</v>
      </c>
      <c r="D67">
        <v>4</v>
      </c>
    </row>
    <row r="68" spans="1:4" x14ac:dyDescent="0.25">
      <c r="A68" t="str">
        <v>1731D</v>
      </c>
      <c r="B68" t="str">
        <v>Carlene Szostak</v>
      </c>
      <c r="C68" t="str">
        <v>Leading Remote Teams</v>
      </c>
      <c r="D68">
        <v>1</v>
      </c>
    </row>
    <row r="69" spans="1:4" x14ac:dyDescent="0.25">
      <c r="A69" t="str">
        <v>1741D</v>
      </c>
      <c r="B69" t="str">
        <v>Carlene Szostak</v>
      </c>
      <c r="C69" t="str">
        <v>AI Ethics for Project Managers</v>
      </c>
      <c r="D69">
        <v>1</v>
      </c>
    </row>
    <row r="70" spans="1:4" x14ac:dyDescent="0.25">
      <c r="A70" t="str">
        <v>1752D</v>
      </c>
      <c r="B70" t="str">
        <v>Frank Saladis</v>
      </c>
      <c r="C70" t="str">
        <v>Master Business Acumen Part 1: Become Business-Savvy</v>
      </c>
      <c r="D70">
        <v>2</v>
      </c>
    </row>
    <row r="71" spans="1:4" x14ac:dyDescent="0.25">
      <c r="A71" t="str">
        <v>1762D</v>
      </c>
      <c r="B71" t="str">
        <v>Frank Saladis</v>
      </c>
      <c r="C71" t="str">
        <v>Master Business Acumen Part 2: Drive Business Value</v>
      </c>
      <c r="D71">
        <v>2</v>
      </c>
    </row>
    <row r="72" spans="1:4" x14ac:dyDescent="0.25">
      <c r="A72" t="str">
        <v>1774D</v>
      </c>
      <c r="B72" t="str">
        <v>Michel Thiry, Guillaume Lapierre</v>
      </c>
      <c r="C72" t="str">
        <v>The VMO Master Class</v>
      </c>
      <c r="D72">
        <v>4</v>
      </c>
    </row>
    <row r="73" spans="1:4" x14ac:dyDescent="0.25">
      <c r="A73" t="str">
        <v>1782D</v>
      </c>
      <c r="B73" t="str">
        <v>Lisa DiTullio</v>
      </c>
      <c r="C73" t="str">
        <v>Project TLC Cohort (need to resolve 5 week schedule)</v>
      </c>
      <c r="D73">
        <v>2</v>
      </c>
    </row>
    <row r="74" spans="1:4" x14ac:dyDescent="0.25">
      <c r="A74" t="str">
        <v>1802D</v>
      </c>
      <c r="B74" t="str">
        <v>Klaus Boedker</v>
      </c>
      <c r="C74" t="str">
        <v>Leading with AI for Project Managers</v>
      </c>
      <c r="D74">
        <v>2</v>
      </c>
    </row>
    <row r="75" spans="1:4" x14ac:dyDescent="0.25">
      <c r="A75" t="str">
        <v>1813D</v>
      </c>
      <c r="B75" t="str">
        <v>Bob Maiale</v>
      </c>
      <c r="C75" t="str">
        <v>Plan and Control: Project Management Foundations</v>
      </c>
      <c r="D75">
        <v>3</v>
      </c>
    </row>
    <row r="76" spans="1:4" x14ac:dyDescent="0.25">
      <c r="A76" t="str">
        <v>1821D</v>
      </c>
      <c r="B76" t="str">
        <v>Bob Maiale</v>
      </c>
      <c r="C76" t="str">
        <v>Project Risk Mastery: Anticipate and Respond</v>
      </c>
      <c r="D76">
        <v>1</v>
      </c>
    </row>
    <row r="77" spans="1:4" x14ac:dyDescent="0.25">
      <c r="A77" t="str">
        <v>1831D</v>
      </c>
      <c r="B77" t="str">
        <v>Bob Maiale</v>
      </c>
      <c r="C77" t="str">
        <v>Lead Anywhere: Master Matrix and Remote Teams</v>
      </c>
      <c r="D77">
        <v>1</v>
      </c>
    </row>
    <row r="78" spans="1:4" x14ac:dyDescent="0.25">
      <c r="A78" t="str">
        <v>1864H</v>
      </c>
      <c r="B78" t="str">
        <v>Joseph Reed</v>
      </c>
      <c r="C78" t="str">
        <v xml:space="preserve"> Influencing Without Authority Interactive Briefing</v>
      </c>
      <c r="D78">
        <v>0.6</v>
      </c>
    </row>
    <row r="79" spans="1:4" x14ac:dyDescent="0.25">
      <c r="A79" t="str">
        <v>1864H</v>
      </c>
      <c r="B79" t="str">
        <v>Joseph Reed</v>
      </c>
      <c r="C79" t="str">
        <v>Influencing Without Authority Interactive Briefing</v>
      </c>
      <c r="D79">
        <v>0.6</v>
      </c>
    </row>
    <row r="80" spans="1:4" x14ac:dyDescent="0.25">
      <c r="A80" t="str">
        <v>1882D</v>
      </c>
      <c r="B80" t="str">
        <v>Joshua Barnes</v>
      </c>
      <c r="C80" t="str">
        <v>Disciplined Agile Foundations: Approaches for Team Agility</v>
      </c>
      <c r="D80">
        <v>2</v>
      </c>
    </row>
    <row r="81" spans="1:4" x14ac:dyDescent="0.25">
      <c r="A81" t="str">
        <v>1892D</v>
      </c>
      <c r="B81" t="str">
        <v>Tyson Rydl</v>
      </c>
      <c r="C81" t="str">
        <v>Human Design Pattern Thinking</v>
      </c>
      <c r="D81">
        <v>2</v>
      </c>
    </row>
    <row r="82" spans="1:4" x14ac:dyDescent="0.25">
      <c r="A82" t="str">
        <v>1902D</v>
      </c>
      <c r="B82" t="str">
        <v>Rafsan Huseynov</v>
      </c>
      <c r="C82" t="str">
        <v>Microsoft 365 Copilot: AI for PM Productivity</v>
      </c>
      <c r="D82">
        <v>2</v>
      </c>
    </row>
    <row r="83" spans="1:4" x14ac:dyDescent="0.25">
      <c r="A83" t="str">
        <v>1912D</v>
      </c>
      <c r="B83" t="str">
        <v>Hammer and Newman</v>
      </c>
      <c r="C83" t="str">
        <v xml:space="preserve">AI for People-First Project Management </v>
      </c>
      <c r="D83">
        <v>2</v>
      </c>
    </row>
    <row r="84" spans="1:4" x14ac:dyDescent="0.25">
      <c r="A84" t="str">
        <v>1932D</v>
      </c>
      <c r="B84" t="str">
        <v>Debra Howell</v>
      </c>
      <c r="C84" t="str">
        <v>Rise Through Resilience</v>
      </c>
      <c r="D84">
        <v>2</v>
      </c>
    </row>
    <row r="85" spans="1:4" x14ac:dyDescent="0.25">
      <c r="A85" t="str">
        <v>1962D</v>
      </c>
      <c r="B85" t="str">
        <v>Tony Prensa</v>
      </c>
      <c r="C85" t="str">
        <v>Implement a Strategic PMO: Drive Business Value</v>
      </c>
      <c r="D85">
        <v>2</v>
      </c>
    </row>
    <row r="86" spans="1:4" x14ac:dyDescent="0.25">
      <c r="A86" t="str">
        <v>1972D</v>
      </c>
      <c r="B86" t="str">
        <v>Christine Aykac</v>
      </c>
      <c r="C86" t="str">
        <v>Adaptive PMO: Mastering Agile Transformation</v>
      </c>
      <c r="D86">
        <v>2</v>
      </c>
    </row>
    <row r="87" spans="1:4" x14ac:dyDescent="0.25">
      <c r="A87" t="str">
        <v>1972D</v>
      </c>
      <c r="B87" t="str">
        <v>Christine Aykac</v>
      </c>
      <c r="C87" t="str">
        <v>The Adaptive PMO: Mastering Agile Transformation</v>
      </c>
      <c r="D87">
        <v>2</v>
      </c>
    </row>
    <row r="88" spans="1:4" x14ac:dyDescent="0.25">
      <c r="A88" t="str">
        <v>1991D</v>
      </c>
      <c r="B88" t="str">
        <v>Oscar Wasilik</v>
      </c>
      <c r="C88" t="str">
        <v>AI Applications: Future-Proofing your PMO</v>
      </c>
      <c r="D88">
        <v>1</v>
      </c>
    </row>
    <row r="89" spans="1:4" x14ac:dyDescent="0.25">
      <c r="A89" t="str">
        <v>2002D</v>
      </c>
      <c r="B89" t="str">
        <v>Bob Maiale</v>
      </c>
      <c r="C89" t="str">
        <v xml:space="preserve">Construction Execution Planning </v>
      </c>
      <c r="D89">
        <v>2</v>
      </c>
    </row>
    <row r="90" spans="1:4" x14ac:dyDescent="0.25">
      <c r="A90" t="str">
        <v>2012D</v>
      </c>
      <c r="B90" t="str">
        <v>Bob Maiale</v>
      </c>
      <c r="C90" t="str">
        <v>NEW! Construction Technology and Innovation</v>
      </c>
      <c r="D90">
        <v>2</v>
      </c>
    </row>
    <row r="91" spans="1:4" x14ac:dyDescent="0.25">
      <c r="A91" t="str">
        <v>2012D</v>
      </c>
      <c r="B91" t="str">
        <v>TBD</v>
      </c>
      <c r="C91" t="str">
        <v>NEW! Construction Technology and Innovation</v>
      </c>
      <c r="D91">
        <v>2</v>
      </c>
    </row>
    <row r="92" spans="1:4" x14ac:dyDescent="0.25">
      <c r="A92" t="str">
        <v>2022D</v>
      </c>
      <c r="B92" t="str">
        <v>Bob Maiale</v>
      </c>
      <c r="C92" t="str">
        <v xml:space="preserve"> Construction Performance and Materials Management </v>
      </c>
      <c r="D92">
        <v>2</v>
      </c>
    </row>
    <row r="93" spans="1:4" x14ac:dyDescent="0.25">
      <c r="A93" t="str">
        <v>2022D</v>
      </c>
      <c r="B93" t="str">
        <v>TBD</v>
      </c>
      <c r="C93" t="str">
        <v xml:space="preserve"> Construction Performance and Materials Management </v>
      </c>
      <c r="D93">
        <v>2</v>
      </c>
    </row>
    <row r="94" spans="1:4" x14ac:dyDescent="0.25">
      <c r="A94" t="str">
        <v>2033D</v>
      </c>
      <c r="B94" t="str">
        <v>Chris Leonard</v>
      </c>
      <c r="C94" t="str">
        <v>NEW! Leading AI-enabled Product Development</v>
      </c>
      <c r="D94">
        <v>3</v>
      </c>
    </row>
    <row r="95" spans="1:4" x14ac:dyDescent="0.25">
      <c r="A95" t="str">
        <v>2053D</v>
      </c>
      <c r="B95" t="str">
        <v>Joyce Brown, Thomas McCabe</v>
      </c>
      <c r="C95" t="str">
        <v xml:space="preserve">Analyst’s Guide to Gathering Product and Project Requirements </v>
      </c>
      <c r="D95">
        <v>3</v>
      </c>
    </row>
    <row r="96" spans="1:4" x14ac:dyDescent="0.25">
      <c r="A96" t="str">
        <v>2063D</v>
      </c>
      <c r="B96" t="str">
        <v>April Callis-Birchmeier</v>
      </c>
      <c r="C96" t="str">
        <v>Leading Change that Sticks; Drive Adoption and Results</v>
      </c>
      <c r="D96">
        <v>3</v>
      </c>
    </row>
    <row r="97" spans="1:4" x14ac:dyDescent="0.25">
      <c r="A97" t="str">
        <v>2072D</v>
      </c>
      <c r="B97" t="str">
        <v>Scott Dunn</v>
      </c>
      <c r="C97" t="str">
        <v>Developing High Performing Agile Teams</v>
      </c>
      <c r="D97">
        <v>2</v>
      </c>
    </row>
    <row r="98" spans="1:4" x14ac:dyDescent="0.25">
      <c r="A98" t="str">
        <v>2084D</v>
      </c>
      <c r="B98" t="str">
        <v>Traci Duez</v>
      </c>
      <c r="C98" t="str">
        <v>Leadership Discovery of your Value and Reputation</v>
      </c>
      <c r="D98">
        <v>4</v>
      </c>
    </row>
    <row r="99" spans="1:4" x14ac:dyDescent="0.25">
      <c r="A99" t="str">
        <v>2092D</v>
      </c>
      <c r="B99" t="str">
        <v>Erin Ramirez</v>
      </c>
      <c r="C99" t="str">
        <v>Mastering Adaptability for Modern Project Success</v>
      </c>
      <c r="D99">
        <v>2</v>
      </c>
    </row>
    <row r="100" spans="1:4" x14ac:dyDescent="0.25">
      <c r="A100" t="str">
        <v>NEW</v>
      </c>
      <c r="B100" t="str">
        <v>Ori Schibi</v>
      </c>
      <c r="C100" t="str">
        <v>AI Change Management</v>
      </c>
      <c r="D100">
        <v>2</v>
      </c>
    </row>
    <row r="101" spans="1:4" x14ac:dyDescent="0.25">
      <c r="A101" t="str">
        <v>NEW</v>
      </c>
      <c r="B101" t="str">
        <v>Ori Schibi</v>
      </c>
      <c r="C101" t="str">
        <v>Stakeholder Analysis for a Meaningful Engagement </v>
      </c>
      <c r="D101">
        <v>2</v>
      </c>
    </row>
    <row r="102" spans="1:4" x14ac:dyDescent="0.25">
      <c r="A102" t="str">
        <v>New 2D</v>
      </c>
      <c r="B102" t="str">
        <v>Tyson Rydl</v>
      </c>
      <c r="C102" t="str">
        <v>Human Pattern Design Thinking</v>
      </c>
      <c r="D102">
        <v>2</v>
      </c>
    </row>
    <row r="103" spans="1:4" x14ac:dyDescent="0.25">
      <c r="A103" t="str">
        <v>TBD</v>
      </c>
      <c r="B103">
        <v>0</v>
      </c>
      <c r="C103" t="str">
        <v>OPEN</v>
      </c>
      <c r="D103">
        <v>2</v>
      </c>
    </row>
    <row r="104" spans="1:4" x14ac:dyDescent="0.25">
      <c r="A104" t="str">
        <v>TBD</v>
      </c>
      <c r="B104" t="str">
        <v>Mike Griffiths</v>
      </c>
      <c r="C104" t="str">
        <v>ACP Skills</v>
      </c>
      <c r="D104">
        <v>1</v>
      </c>
    </row>
    <row r="105" spans="1:4" x14ac:dyDescent="0.25">
      <c r="A105" t="str">
        <v>TBD</v>
      </c>
      <c r="B105" t="str">
        <v>Mike Griffiths</v>
      </c>
      <c r="C105" t="str">
        <v>PMP Skills</v>
      </c>
      <c r="D105">
        <v>1</v>
      </c>
    </row>
    <row r="106" spans="1:4" x14ac:dyDescent="0.25">
      <c r="A106">
        <v>0</v>
      </c>
      <c r="B106">
        <v>0</v>
      </c>
      <c r="C106">
        <v>0</v>
      </c>
      <c r="D10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EA2F-7653-4D9F-A29E-78F606FEFA5B}">
  <sheetPr codeName="Sheet7"/>
  <dimension ref="A1:E104"/>
  <sheetViews>
    <sheetView workbookViewId="0">
      <selection activeCell="B15" sqref="B15"/>
    </sheetView>
  </sheetViews>
  <sheetFormatPr defaultRowHeight="15" x14ac:dyDescent="0.25"/>
  <cols>
    <col min="1" max="1" width="12.140625" customWidth="1"/>
    <col min="2" max="2" width="29.140625" bestFit="1" customWidth="1"/>
    <col min="3" max="3" width="99.28515625" bestFit="1" customWidth="1"/>
    <col min="4" max="4" width="15.7109375" customWidth="1"/>
    <col min="5" max="5" width="52.28515625" bestFit="1" customWidth="1"/>
  </cols>
  <sheetData>
    <row r="1" spans="1:5" x14ac:dyDescent="0.25">
      <c r="A1" s="260" t="s">
        <v>467</v>
      </c>
      <c r="B1" s="257" t="s">
        <v>3</v>
      </c>
      <c r="C1" s="257" t="s">
        <v>466</v>
      </c>
      <c r="D1" s="257" t="s">
        <v>468</v>
      </c>
      <c r="E1" s="261" t="s">
        <v>12</v>
      </c>
    </row>
    <row r="2" spans="1:5" x14ac:dyDescent="0.25">
      <c r="A2" t="s">
        <v>205</v>
      </c>
      <c r="B2" t="s">
        <v>207</v>
      </c>
      <c r="C2" t="s">
        <v>206</v>
      </c>
      <c r="D2">
        <v>1</v>
      </c>
      <c r="E2" t="s">
        <v>54</v>
      </c>
    </row>
    <row r="3" spans="1:5" x14ac:dyDescent="0.25">
      <c r="A3" t="s">
        <v>208</v>
      </c>
      <c r="B3" t="s">
        <v>207</v>
      </c>
      <c r="C3" t="s">
        <v>209</v>
      </c>
      <c r="D3">
        <v>1</v>
      </c>
      <c r="E3" t="s">
        <v>54</v>
      </c>
    </row>
    <row r="4" spans="1:5" x14ac:dyDescent="0.25">
      <c r="A4" t="s">
        <v>263</v>
      </c>
      <c r="B4" t="s">
        <v>231</v>
      </c>
      <c r="C4" t="s">
        <v>264</v>
      </c>
      <c r="D4">
        <v>2</v>
      </c>
      <c r="E4" t="s">
        <v>491</v>
      </c>
    </row>
    <row r="5" spans="1:5" x14ac:dyDescent="0.25">
      <c r="A5" t="s">
        <v>229</v>
      </c>
      <c r="B5" t="s">
        <v>231</v>
      </c>
      <c r="C5" t="s">
        <v>230</v>
      </c>
      <c r="D5">
        <v>3</v>
      </c>
      <c r="E5" t="s">
        <v>54</v>
      </c>
    </row>
    <row r="6" spans="1:5" x14ac:dyDescent="0.25">
      <c r="A6" t="s">
        <v>261</v>
      </c>
      <c r="B6" t="s">
        <v>148</v>
      </c>
      <c r="C6" t="s">
        <v>262</v>
      </c>
      <c r="D6">
        <v>3</v>
      </c>
      <c r="E6" t="s">
        <v>500</v>
      </c>
    </row>
    <row r="7" spans="1:5" x14ac:dyDescent="0.25">
      <c r="A7" t="s">
        <v>258</v>
      </c>
      <c r="B7" t="s">
        <v>148</v>
      </c>
      <c r="C7" t="s">
        <v>259</v>
      </c>
      <c r="D7">
        <v>1</v>
      </c>
      <c r="E7" t="s">
        <v>501</v>
      </c>
    </row>
    <row r="8" spans="1:5" x14ac:dyDescent="0.25">
      <c r="A8" t="s">
        <v>358</v>
      </c>
      <c r="B8" t="s">
        <v>148</v>
      </c>
      <c r="C8" t="s">
        <v>359</v>
      </c>
      <c r="D8">
        <v>1</v>
      </c>
      <c r="E8" t="s">
        <v>465</v>
      </c>
    </row>
    <row r="9" spans="1:5" x14ac:dyDescent="0.25">
      <c r="A9" t="s">
        <v>168</v>
      </c>
      <c r="B9" t="s">
        <v>148</v>
      </c>
      <c r="C9" t="s">
        <v>169</v>
      </c>
      <c r="D9">
        <v>2</v>
      </c>
      <c r="E9" t="s">
        <v>504</v>
      </c>
    </row>
    <row r="10" spans="1:5" x14ac:dyDescent="0.25">
      <c r="A10" t="s">
        <v>171</v>
      </c>
      <c r="B10" t="s">
        <v>148</v>
      </c>
      <c r="C10" t="s">
        <v>172</v>
      </c>
      <c r="D10">
        <v>2</v>
      </c>
      <c r="E10" t="s">
        <v>150</v>
      </c>
    </row>
    <row r="11" spans="1:5" x14ac:dyDescent="0.25">
      <c r="A11" t="s">
        <v>146</v>
      </c>
      <c r="B11" t="s">
        <v>148</v>
      </c>
      <c r="C11" t="s">
        <v>506</v>
      </c>
      <c r="D11">
        <v>2</v>
      </c>
      <c r="E11" t="s">
        <v>150</v>
      </c>
    </row>
    <row r="12" spans="1:5" x14ac:dyDescent="0.25">
      <c r="A12" t="s">
        <v>303</v>
      </c>
      <c r="B12" t="s">
        <v>305</v>
      </c>
      <c r="C12" t="s">
        <v>304</v>
      </c>
      <c r="D12">
        <v>2</v>
      </c>
      <c r="E12" t="s">
        <v>105</v>
      </c>
    </row>
    <row r="13" spans="1:5" x14ac:dyDescent="0.25">
      <c r="A13" t="s">
        <v>67</v>
      </c>
      <c r="B13" t="s">
        <v>69</v>
      </c>
      <c r="C13" t="s">
        <v>68</v>
      </c>
      <c r="D13">
        <v>2</v>
      </c>
      <c r="E13" t="s">
        <v>70</v>
      </c>
    </row>
    <row r="14" spans="1:5" x14ac:dyDescent="0.25">
      <c r="A14" t="s">
        <v>156</v>
      </c>
      <c r="B14" t="s">
        <v>69</v>
      </c>
      <c r="C14" t="s">
        <v>157</v>
      </c>
      <c r="D14">
        <v>4</v>
      </c>
      <c r="E14" t="s">
        <v>70</v>
      </c>
    </row>
    <row r="15" spans="1:5" x14ac:dyDescent="0.25">
      <c r="A15" t="s">
        <v>195</v>
      </c>
      <c r="B15" t="s">
        <v>69</v>
      </c>
      <c r="C15" t="s">
        <v>196</v>
      </c>
      <c r="D15">
        <v>2</v>
      </c>
      <c r="E15" t="s">
        <v>105</v>
      </c>
    </row>
    <row r="16" spans="1:5" x14ac:dyDescent="0.25">
      <c r="A16" t="s">
        <v>182</v>
      </c>
      <c r="B16" t="s">
        <v>184</v>
      </c>
      <c r="C16" t="s">
        <v>183</v>
      </c>
      <c r="D16">
        <v>0.6</v>
      </c>
      <c r="E16" t="s">
        <v>105</v>
      </c>
    </row>
    <row r="17" spans="1:5" x14ac:dyDescent="0.25">
      <c r="A17" t="s">
        <v>444</v>
      </c>
      <c r="B17" t="s">
        <v>184</v>
      </c>
      <c r="C17" t="s">
        <v>445</v>
      </c>
      <c r="D17">
        <v>0.5</v>
      </c>
      <c r="E17" t="s">
        <v>105</v>
      </c>
    </row>
    <row r="18" spans="1:5" x14ac:dyDescent="0.25">
      <c r="A18" t="s">
        <v>442</v>
      </c>
      <c r="B18" t="s">
        <v>184</v>
      </c>
      <c r="C18" t="s">
        <v>443</v>
      </c>
      <c r="D18">
        <v>2</v>
      </c>
      <c r="E18" t="s">
        <v>70</v>
      </c>
    </row>
    <row r="19" spans="1:5" x14ac:dyDescent="0.25">
      <c r="A19" t="s">
        <v>439</v>
      </c>
      <c r="B19" t="s">
        <v>199</v>
      </c>
      <c r="C19" t="s">
        <v>440</v>
      </c>
      <c r="D19">
        <v>0.5</v>
      </c>
      <c r="E19" t="s">
        <v>41</v>
      </c>
    </row>
    <row r="20" spans="1:5" x14ac:dyDescent="0.25">
      <c r="A20" t="s">
        <v>197</v>
      </c>
      <c r="B20" t="s">
        <v>199</v>
      </c>
      <c r="C20" t="s">
        <v>198</v>
      </c>
      <c r="D20">
        <v>1</v>
      </c>
      <c r="E20" t="s">
        <v>30</v>
      </c>
    </row>
    <row r="21" spans="1:5" x14ac:dyDescent="0.25">
      <c r="A21" t="s">
        <v>200</v>
      </c>
      <c r="B21" t="s">
        <v>199</v>
      </c>
      <c r="C21" t="s">
        <v>201</v>
      </c>
      <c r="D21">
        <v>1</v>
      </c>
      <c r="E21" t="s">
        <v>41</v>
      </c>
    </row>
    <row r="22" spans="1:5" x14ac:dyDescent="0.25">
      <c r="A22" t="s">
        <v>86</v>
      </c>
      <c r="B22" t="s">
        <v>88</v>
      </c>
      <c r="C22" t="s">
        <v>87</v>
      </c>
      <c r="D22">
        <v>3</v>
      </c>
      <c r="E22" t="s">
        <v>89</v>
      </c>
    </row>
    <row r="23" spans="1:5" x14ac:dyDescent="0.25">
      <c r="A23" t="s">
        <v>64</v>
      </c>
      <c r="B23" t="s">
        <v>66</v>
      </c>
      <c r="C23" t="s">
        <v>269</v>
      </c>
      <c r="D23">
        <v>2</v>
      </c>
      <c r="E23" t="s">
        <v>60</v>
      </c>
    </row>
    <row r="24" spans="1:5" x14ac:dyDescent="0.25">
      <c r="A24" t="s">
        <v>64</v>
      </c>
      <c r="B24" t="s">
        <v>66</v>
      </c>
      <c r="C24" t="s">
        <v>181</v>
      </c>
      <c r="D24">
        <v>2</v>
      </c>
      <c r="E24" t="s">
        <v>60</v>
      </c>
    </row>
    <row r="25" spans="1:5" x14ac:dyDescent="0.25">
      <c r="A25" t="s">
        <v>222</v>
      </c>
      <c r="B25" t="s">
        <v>224</v>
      </c>
      <c r="C25" t="s">
        <v>223</v>
      </c>
      <c r="D25">
        <v>2</v>
      </c>
      <c r="E25" t="s">
        <v>30</v>
      </c>
    </row>
    <row r="26" spans="1:5" x14ac:dyDescent="0.25">
      <c r="A26" t="s">
        <v>212</v>
      </c>
      <c r="B26" t="s">
        <v>214</v>
      </c>
      <c r="C26" t="s">
        <v>213</v>
      </c>
      <c r="D26">
        <v>2</v>
      </c>
      <c r="E26" t="s">
        <v>215</v>
      </c>
    </row>
    <row r="27" spans="1:5" x14ac:dyDescent="0.25">
      <c r="A27" t="s">
        <v>216</v>
      </c>
      <c r="B27" t="s">
        <v>214</v>
      </c>
      <c r="C27" t="s">
        <v>217</v>
      </c>
      <c r="D27">
        <v>1</v>
      </c>
      <c r="E27" t="s">
        <v>492</v>
      </c>
    </row>
    <row r="28" spans="1:5" x14ac:dyDescent="0.25">
      <c r="A28" t="s">
        <v>376</v>
      </c>
      <c r="B28" t="s">
        <v>378</v>
      </c>
      <c r="C28" t="s">
        <v>377</v>
      </c>
      <c r="D28">
        <v>4</v>
      </c>
      <c r="E28" t="s">
        <v>60</v>
      </c>
    </row>
    <row r="29" spans="1:5" x14ac:dyDescent="0.25">
      <c r="A29" t="s">
        <v>23</v>
      </c>
      <c r="B29" t="s">
        <v>25</v>
      </c>
      <c r="C29" t="s">
        <v>267</v>
      </c>
      <c r="D29">
        <v>2</v>
      </c>
      <c r="E29" t="s">
        <v>505</v>
      </c>
    </row>
    <row r="30" spans="1:5" x14ac:dyDescent="0.25">
      <c r="A30" t="s">
        <v>270</v>
      </c>
      <c r="B30" t="s">
        <v>38</v>
      </c>
      <c r="C30" t="s">
        <v>271</v>
      </c>
      <c r="D30">
        <v>2</v>
      </c>
      <c r="E30" t="s">
        <v>70</v>
      </c>
    </row>
    <row r="31" spans="1:5" x14ac:dyDescent="0.25">
      <c r="A31" t="s">
        <v>36</v>
      </c>
      <c r="B31" t="s">
        <v>38</v>
      </c>
      <c r="C31" t="s">
        <v>400</v>
      </c>
      <c r="D31">
        <v>1</v>
      </c>
      <c r="E31" t="s">
        <v>41</v>
      </c>
    </row>
    <row r="32" spans="1:5" x14ac:dyDescent="0.25">
      <c r="A32" t="s">
        <v>361</v>
      </c>
      <c r="B32" t="s">
        <v>363</v>
      </c>
      <c r="C32" t="s">
        <v>362</v>
      </c>
      <c r="D32">
        <v>2</v>
      </c>
      <c r="E32" t="s">
        <v>499</v>
      </c>
    </row>
    <row r="33" spans="1:5" x14ac:dyDescent="0.25">
      <c r="A33" t="s">
        <v>365</v>
      </c>
      <c r="B33" t="s">
        <v>363</v>
      </c>
      <c r="C33" t="s">
        <v>366</v>
      </c>
      <c r="D33">
        <v>2</v>
      </c>
      <c r="E33" t="s">
        <v>499</v>
      </c>
    </row>
    <row r="34" spans="1:5" x14ac:dyDescent="0.25">
      <c r="A34" t="s">
        <v>288</v>
      </c>
      <c r="B34" t="s">
        <v>290</v>
      </c>
      <c r="C34" t="s">
        <v>289</v>
      </c>
      <c r="D34">
        <v>2</v>
      </c>
      <c r="E34" t="s">
        <v>485</v>
      </c>
    </row>
    <row r="35" spans="1:5" x14ac:dyDescent="0.25">
      <c r="A35" t="s">
        <v>131</v>
      </c>
      <c r="B35" t="s">
        <v>133</v>
      </c>
      <c r="C35" t="s">
        <v>132</v>
      </c>
      <c r="D35">
        <v>1</v>
      </c>
      <c r="E35" t="s">
        <v>105</v>
      </c>
    </row>
    <row r="36" spans="1:5" x14ac:dyDescent="0.25">
      <c r="A36" t="s">
        <v>136</v>
      </c>
      <c r="B36" t="s">
        <v>133</v>
      </c>
      <c r="C36" t="s">
        <v>137</v>
      </c>
      <c r="D36">
        <v>1</v>
      </c>
      <c r="E36" t="s">
        <v>105</v>
      </c>
    </row>
    <row r="37" spans="1:5" x14ac:dyDescent="0.25">
      <c r="A37" t="s">
        <v>136</v>
      </c>
      <c r="B37" t="s">
        <v>133</v>
      </c>
      <c r="C37" t="s">
        <v>137</v>
      </c>
      <c r="D37">
        <v>2</v>
      </c>
      <c r="E37" t="s">
        <v>105</v>
      </c>
    </row>
    <row r="38" spans="1:5" x14ac:dyDescent="0.25">
      <c r="A38" t="s">
        <v>413</v>
      </c>
      <c r="B38" t="s">
        <v>412</v>
      </c>
      <c r="C38" t="s">
        <v>414</v>
      </c>
      <c r="D38">
        <v>2</v>
      </c>
      <c r="E38" t="s">
        <v>415</v>
      </c>
    </row>
    <row r="39" spans="1:5" x14ac:dyDescent="0.25">
      <c r="A39" t="s">
        <v>410</v>
      </c>
      <c r="B39" t="s">
        <v>412</v>
      </c>
      <c r="C39" t="s">
        <v>411</v>
      </c>
      <c r="D39">
        <v>2</v>
      </c>
      <c r="E39" t="s">
        <v>298</v>
      </c>
    </row>
    <row r="40" spans="1:5" x14ac:dyDescent="0.25">
      <c r="A40" t="s">
        <v>124</v>
      </c>
      <c r="B40" t="s">
        <v>126</v>
      </c>
      <c r="C40" t="s">
        <v>125</v>
      </c>
      <c r="D40">
        <v>2</v>
      </c>
      <c r="E40" t="s">
        <v>480</v>
      </c>
    </row>
    <row r="41" spans="1:5" x14ac:dyDescent="0.25">
      <c r="A41" t="s">
        <v>128</v>
      </c>
      <c r="B41" t="s">
        <v>126</v>
      </c>
      <c r="C41" t="s">
        <v>129</v>
      </c>
      <c r="D41">
        <v>2</v>
      </c>
      <c r="E41" t="s">
        <v>487</v>
      </c>
    </row>
    <row r="42" spans="1:5" x14ac:dyDescent="0.25">
      <c r="A42" t="s">
        <v>52</v>
      </c>
      <c r="B42" t="s">
        <v>50</v>
      </c>
      <c r="C42" t="s">
        <v>53</v>
      </c>
      <c r="D42">
        <v>1</v>
      </c>
      <c r="E42" t="s">
        <v>54</v>
      </c>
    </row>
    <row r="43" spans="1:5" x14ac:dyDescent="0.25">
      <c r="A43" t="s">
        <v>48</v>
      </c>
      <c r="B43" t="s">
        <v>50</v>
      </c>
      <c r="C43" t="s">
        <v>49</v>
      </c>
      <c r="D43">
        <v>2</v>
      </c>
      <c r="E43" t="s">
        <v>494</v>
      </c>
    </row>
    <row r="44" spans="1:5" x14ac:dyDescent="0.25">
      <c r="A44" t="s">
        <v>121</v>
      </c>
      <c r="B44" t="s">
        <v>50</v>
      </c>
      <c r="C44" t="s">
        <v>122</v>
      </c>
      <c r="D44">
        <v>4</v>
      </c>
      <c r="E44" t="s">
        <v>495</v>
      </c>
    </row>
    <row r="45" spans="1:5" x14ac:dyDescent="0.25">
      <c r="A45" t="s">
        <v>428</v>
      </c>
      <c r="B45" t="s">
        <v>50</v>
      </c>
      <c r="C45" t="s">
        <v>429</v>
      </c>
      <c r="D45">
        <v>2</v>
      </c>
      <c r="E45" t="s">
        <v>417</v>
      </c>
    </row>
    <row r="46" spans="1:5" x14ac:dyDescent="0.25">
      <c r="A46" t="s">
        <v>111</v>
      </c>
      <c r="B46" t="s">
        <v>416</v>
      </c>
      <c r="C46" t="s">
        <v>112</v>
      </c>
      <c r="D46">
        <v>2</v>
      </c>
      <c r="E46" t="s">
        <v>483</v>
      </c>
    </row>
    <row r="47" spans="1:5" x14ac:dyDescent="0.25">
      <c r="A47" t="s">
        <v>193</v>
      </c>
      <c r="B47" t="s">
        <v>191</v>
      </c>
      <c r="C47" t="s">
        <v>450</v>
      </c>
      <c r="D47">
        <v>2</v>
      </c>
      <c r="E47" t="s">
        <v>54</v>
      </c>
    </row>
    <row r="48" spans="1:5" x14ac:dyDescent="0.25">
      <c r="A48" t="s">
        <v>189</v>
      </c>
      <c r="B48" t="s">
        <v>191</v>
      </c>
      <c r="C48" t="s">
        <v>448</v>
      </c>
      <c r="D48">
        <v>0.6</v>
      </c>
      <c r="E48" t="s">
        <v>54</v>
      </c>
    </row>
    <row r="49" spans="1:5" x14ac:dyDescent="0.25">
      <c r="A49" t="s">
        <v>189</v>
      </c>
      <c r="B49" t="s">
        <v>191</v>
      </c>
      <c r="C49" t="s">
        <v>190</v>
      </c>
      <c r="D49">
        <v>0.6</v>
      </c>
      <c r="E49" t="s">
        <v>54</v>
      </c>
    </row>
    <row r="50" spans="1:5" x14ac:dyDescent="0.25">
      <c r="A50" t="s">
        <v>344</v>
      </c>
      <c r="B50" t="s">
        <v>346</v>
      </c>
      <c r="C50" t="s">
        <v>345</v>
      </c>
      <c r="D50">
        <v>2</v>
      </c>
      <c r="E50" t="s">
        <v>286</v>
      </c>
    </row>
    <row r="51" spans="1:5" x14ac:dyDescent="0.25">
      <c r="A51" t="s">
        <v>294</v>
      </c>
      <c r="B51" t="s">
        <v>76</v>
      </c>
      <c r="C51" t="s">
        <v>295</v>
      </c>
      <c r="D51">
        <v>4</v>
      </c>
      <c r="E51" t="s">
        <v>296</v>
      </c>
    </row>
    <row r="52" spans="1:5" x14ac:dyDescent="0.25">
      <c r="A52" t="s">
        <v>74</v>
      </c>
      <c r="B52" t="s">
        <v>76</v>
      </c>
      <c r="C52" t="s">
        <v>75</v>
      </c>
      <c r="D52">
        <v>3</v>
      </c>
      <c r="E52" t="s">
        <v>60</v>
      </c>
    </row>
    <row r="53" spans="1:5" x14ac:dyDescent="0.25">
      <c r="A53" t="s">
        <v>256</v>
      </c>
      <c r="B53" t="s">
        <v>76</v>
      </c>
      <c r="C53" t="s">
        <v>257</v>
      </c>
      <c r="D53">
        <v>3</v>
      </c>
      <c r="E53" t="s">
        <v>105</v>
      </c>
    </row>
    <row r="54" spans="1:5" x14ac:dyDescent="0.25">
      <c r="A54" t="s">
        <v>106</v>
      </c>
      <c r="B54" t="s">
        <v>418</v>
      </c>
      <c r="C54" t="s">
        <v>107</v>
      </c>
      <c r="D54">
        <v>2</v>
      </c>
      <c r="E54" t="s">
        <v>484</v>
      </c>
    </row>
    <row r="55" spans="1:5" x14ac:dyDescent="0.25">
      <c r="A55" t="s">
        <v>80</v>
      </c>
      <c r="B55" t="s">
        <v>82</v>
      </c>
      <c r="C55" t="s">
        <v>319</v>
      </c>
      <c r="D55">
        <v>0.5</v>
      </c>
      <c r="E55" t="s">
        <v>285</v>
      </c>
    </row>
    <row r="56" spans="1:5" x14ac:dyDescent="0.25">
      <c r="A56" t="s">
        <v>80</v>
      </c>
      <c r="B56" t="s">
        <v>82</v>
      </c>
      <c r="C56" t="s">
        <v>81</v>
      </c>
      <c r="D56">
        <v>0.5</v>
      </c>
      <c r="E56" t="s">
        <v>47</v>
      </c>
    </row>
    <row r="57" spans="1:5" x14ac:dyDescent="0.25">
      <c r="A57" t="s">
        <v>71</v>
      </c>
      <c r="B57" t="s">
        <v>73</v>
      </c>
      <c r="C57" t="s">
        <v>72</v>
      </c>
      <c r="D57">
        <v>2</v>
      </c>
      <c r="E57" t="s">
        <v>497</v>
      </c>
    </row>
    <row r="58" spans="1:5" x14ac:dyDescent="0.25">
      <c r="A58" t="s">
        <v>55</v>
      </c>
      <c r="B58" t="s">
        <v>57</v>
      </c>
      <c r="C58" t="s">
        <v>56</v>
      </c>
      <c r="D58">
        <v>2</v>
      </c>
      <c r="E58" t="s">
        <v>479</v>
      </c>
    </row>
    <row r="59" spans="1:5" x14ac:dyDescent="0.25">
      <c r="A59" t="s">
        <v>55</v>
      </c>
      <c r="B59" t="s">
        <v>57</v>
      </c>
      <c r="C59" t="s">
        <v>59</v>
      </c>
      <c r="D59">
        <v>2</v>
      </c>
      <c r="E59" t="s">
        <v>60</v>
      </c>
    </row>
    <row r="60" spans="1:5" x14ac:dyDescent="0.25">
      <c r="A60" t="s">
        <v>331</v>
      </c>
      <c r="B60" t="s">
        <v>57</v>
      </c>
      <c r="C60" t="s">
        <v>332</v>
      </c>
      <c r="D60">
        <v>1</v>
      </c>
      <c r="E60" t="s">
        <v>105</v>
      </c>
    </row>
    <row r="61" spans="1:5" x14ac:dyDescent="0.25">
      <c r="A61" t="s">
        <v>434</v>
      </c>
      <c r="B61" t="s">
        <v>57</v>
      </c>
      <c r="C61" t="s">
        <v>59</v>
      </c>
      <c r="D61">
        <v>2</v>
      </c>
      <c r="E61" t="s">
        <v>60</v>
      </c>
    </row>
    <row r="62" spans="1:5" x14ac:dyDescent="0.25">
      <c r="A62" t="s">
        <v>43</v>
      </c>
      <c r="B62" t="s">
        <v>45</v>
      </c>
      <c r="C62" t="s">
        <v>44</v>
      </c>
      <c r="D62">
        <v>2</v>
      </c>
      <c r="E62" t="s">
        <v>478</v>
      </c>
    </row>
    <row r="63" spans="1:5" x14ac:dyDescent="0.25">
      <c r="A63" t="s">
        <v>306</v>
      </c>
      <c r="B63" t="s">
        <v>308</v>
      </c>
      <c r="C63" t="s">
        <v>307</v>
      </c>
      <c r="D63">
        <v>2</v>
      </c>
      <c r="E63" t="s">
        <v>105</v>
      </c>
    </row>
    <row r="64" spans="1:5" x14ac:dyDescent="0.25">
      <c r="A64" t="s">
        <v>436</v>
      </c>
      <c r="B64" t="s">
        <v>308</v>
      </c>
      <c r="C64" t="s">
        <v>437</v>
      </c>
      <c r="D64">
        <v>2</v>
      </c>
      <c r="E64" t="s">
        <v>438</v>
      </c>
    </row>
    <row r="65" spans="1:5" x14ac:dyDescent="0.25">
      <c r="A65" t="s">
        <v>139</v>
      </c>
      <c r="B65" t="s">
        <v>141</v>
      </c>
      <c r="C65" t="s">
        <v>140</v>
      </c>
      <c r="D65">
        <v>2</v>
      </c>
      <c r="E65" t="s">
        <v>476</v>
      </c>
    </row>
    <row r="66" spans="1:5" x14ac:dyDescent="0.25">
      <c r="A66" t="s">
        <v>143</v>
      </c>
      <c r="B66" t="s">
        <v>141</v>
      </c>
      <c r="C66" t="s">
        <v>144</v>
      </c>
      <c r="D66">
        <v>2</v>
      </c>
      <c r="E66" t="s">
        <v>477</v>
      </c>
    </row>
    <row r="67" spans="1:5" x14ac:dyDescent="0.25">
      <c r="A67" t="s">
        <v>413</v>
      </c>
      <c r="B67" t="s">
        <v>141</v>
      </c>
      <c r="C67" t="s">
        <v>414</v>
      </c>
      <c r="D67">
        <v>2</v>
      </c>
      <c r="E67" t="s">
        <v>426</v>
      </c>
    </row>
    <row r="68" spans="1:5" x14ac:dyDescent="0.25">
      <c r="A68" t="s">
        <v>77</v>
      </c>
      <c r="B68" t="s">
        <v>79</v>
      </c>
      <c r="C68" t="s">
        <v>78</v>
      </c>
      <c r="D68">
        <v>2</v>
      </c>
      <c r="E68" t="s">
        <v>60</v>
      </c>
    </row>
    <row r="69" spans="1:5" x14ac:dyDescent="0.25">
      <c r="A69" t="s">
        <v>160</v>
      </c>
      <c r="B69" t="s">
        <v>79</v>
      </c>
      <c r="C69" t="s">
        <v>161</v>
      </c>
      <c r="D69">
        <v>4</v>
      </c>
      <c r="E69" t="s">
        <v>490</v>
      </c>
    </row>
    <row r="70" spans="1:5" x14ac:dyDescent="0.25">
      <c r="A70" t="s">
        <v>160</v>
      </c>
      <c r="B70" t="s">
        <v>399</v>
      </c>
      <c r="C70" t="s">
        <v>161</v>
      </c>
      <c r="D70">
        <v>4</v>
      </c>
      <c r="E70" t="s">
        <v>105</v>
      </c>
    </row>
    <row r="71" spans="1:5" x14ac:dyDescent="0.25">
      <c r="A71" t="s">
        <v>380</v>
      </c>
      <c r="B71" t="s">
        <v>382</v>
      </c>
      <c r="C71" t="s">
        <v>381</v>
      </c>
      <c r="D71">
        <v>4</v>
      </c>
      <c r="E71" t="s">
        <v>60</v>
      </c>
    </row>
    <row r="72" spans="1:5" x14ac:dyDescent="0.25">
      <c r="A72" t="s">
        <v>170</v>
      </c>
      <c r="B72" t="s">
        <v>348</v>
      </c>
      <c r="C72" t="s">
        <v>347</v>
      </c>
      <c r="D72">
        <v>1</v>
      </c>
      <c r="E72" t="s">
        <v>286</v>
      </c>
    </row>
    <row r="73" spans="1:5" x14ac:dyDescent="0.25">
      <c r="A73" t="s">
        <v>170</v>
      </c>
      <c r="B73" t="s">
        <v>348</v>
      </c>
      <c r="C73" t="s">
        <v>349</v>
      </c>
      <c r="D73">
        <v>1</v>
      </c>
      <c r="E73" t="s">
        <v>105</v>
      </c>
    </row>
    <row r="74" spans="1:5" x14ac:dyDescent="0.25">
      <c r="A74" t="s">
        <v>326</v>
      </c>
      <c r="B74" t="s">
        <v>328</v>
      </c>
      <c r="C74" t="s">
        <v>327</v>
      </c>
      <c r="D74">
        <v>2</v>
      </c>
      <c r="E74" t="s">
        <v>60</v>
      </c>
    </row>
    <row r="75" spans="1:5" x14ac:dyDescent="0.25">
      <c r="A75" t="s">
        <v>336</v>
      </c>
      <c r="B75" t="s">
        <v>338</v>
      </c>
      <c r="C75" t="s">
        <v>337</v>
      </c>
      <c r="D75">
        <v>2</v>
      </c>
      <c r="E75" t="s">
        <v>482</v>
      </c>
    </row>
    <row r="76" spans="1:5" x14ac:dyDescent="0.25">
      <c r="A76" t="s">
        <v>298</v>
      </c>
      <c r="B76" t="s">
        <v>300</v>
      </c>
      <c r="C76" t="s">
        <v>299</v>
      </c>
      <c r="D76">
        <v>2</v>
      </c>
      <c r="E76" t="s">
        <v>41</v>
      </c>
    </row>
    <row r="77" spans="1:5" x14ac:dyDescent="0.25">
      <c r="A77" t="s">
        <v>298</v>
      </c>
      <c r="B77" t="s">
        <v>300</v>
      </c>
      <c r="C77" t="s">
        <v>301</v>
      </c>
      <c r="D77">
        <v>2</v>
      </c>
      <c r="E77" t="s">
        <v>285</v>
      </c>
    </row>
    <row r="78" spans="1:5" x14ac:dyDescent="0.25">
      <c r="A78" t="s">
        <v>390</v>
      </c>
      <c r="B78" t="s">
        <v>389</v>
      </c>
      <c r="C78" t="s">
        <v>391</v>
      </c>
      <c r="D78">
        <v>3</v>
      </c>
      <c r="E78" t="s">
        <v>392</v>
      </c>
    </row>
    <row r="79" spans="1:5" x14ac:dyDescent="0.25">
      <c r="A79" t="s">
        <v>115</v>
      </c>
      <c r="B79" t="s">
        <v>389</v>
      </c>
      <c r="C79" t="s">
        <v>116</v>
      </c>
      <c r="D79">
        <v>2</v>
      </c>
      <c r="E79" t="s">
        <v>496</v>
      </c>
    </row>
    <row r="80" spans="1:5" x14ac:dyDescent="0.25">
      <c r="A80" t="s">
        <v>119</v>
      </c>
      <c r="B80" t="s">
        <v>389</v>
      </c>
      <c r="C80" t="s">
        <v>120</v>
      </c>
      <c r="D80">
        <v>2</v>
      </c>
      <c r="E80" t="s">
        <v>497</v>
      </c>
    </row>
    <row r="81" spans="1:5" x14ac:dyDescent="0.25">
      <c r="A81" t="s">
        <v>387</v>
      </c>
      <c r="B81" t="s">
        <v>389</v>
      </c>
      <c r="C81" t="s">
        <v>388</v>
      </c>
      <c r="D81">
        <v>1</v>
      </c>
      <c r="E81" t="s">
        <v>503</v>
      </c>
    </row>
    <row r="82" spans="1:5" x14ac:dyDescent="0.25">
      <c r="A82" t="s">
        <v>408</v>
      </c>
      <c r="B82" t="s">
        <v>63</v>
      </c>
      <c r="C82" t="s">
        <v>409</v>
      </c>
      <c r="D82">
        <v>1</v>
      </c>
      <c r="E82" t="s">
        <v>41</v>
      </c>
    </row>
    <row r="83" spans="1:5" x14ac:dyDescent="0.25">
      <c r="A83" t="s">
        <v>61</v>
      </c>
      <c r="B83" t="s">
        <v>63</v>
      </c>
      <c r="C83" t="s">
        <v>62</v>
      </c>
      <c r="D83">
        <v>2</v>
      </c>
      <c r="E83" t="s">
        <v>497</v>
      </c>
    </row>
    <row r="84" spans="1:5" x14ac:dyDescent="0.25">
      <c r="A84" t="s">
        <v>218</v>
      </c>
      <c r="B84" t="s">
        <v>220</v>
      </c>
      <c r="C84" t="s">
        <v>219</v>
      </c>
      <c r="D84">
        <v>2</v>
      </c>
      <c r="E84" t="s">
        <v>502</v>
      </c>
    </row>
    <row r="85" spans="1:5" x14ac:dyDescent="0.25">
      <c r="A85" t="s">
        <v>383</v>
      </c>
      <c r="B85" t="s">
        <v>385</v>
      </c>
      <c r="C85" t="s">
        <v>384</v>
      </c>
      <c r="D85">
        <v>3</v>
      </c>
      <c r="E85" t="s">
        <v>215</v>
      </c>
    </row>
    <row r="86" spans="1:5" x14ac:dyDescent="0.25">
      <c r="A86" t="s">
        <v>202</v>
      </c>
      <c r="B86" t="s">
        <v>204</v>
      </c>
      <c r="C86" t="s">
        <v>203</v>
      </c>
      <c r="D86">
        <v>2</v>
      </c>
      <c r="E86" t="s">
        <v>488</v>
      </c>
    </row>
    <row r="87" spans="1:5" x14ac:dyDescent="0.25">
      <c r="A87" t="s">
        <v>350</v>
      </c>
      <c r="B87" t="s">
        <v>352</v>
      </c>
      <c r="C87" t="s">
        <v>351</v>
      </c>
      <c r="D87">
        <v>2</v>
      </c>
      <c r="E87" t="s">
        <v>286</v>
      </c>
    </row>
    <row r="88" spans="1:5" x14ac:dyDescent="0.25">
      <c r="A88" t="s">
        <v>322</v>
      </c>
      <c r="B88" t="s">
        <v>324</v>
      </c>
      <c r="C88" t="s">
        <v>323</v>
      </c>
      <c r="D88">
        <v>1</v>
      </c>
      <c r="E88" t="s">
        <v>325</v>
      </c>
    </row>
    <row r="89" spans="1:5" x14ac:dyDescent="0.25">
      <c r="A89" t="s">
        <v>185</v>
      </c>
      <c r="B89" t="s">
        <v>187</v>
      </c>
      <c r="C89" t="s">
        <v>186</v>
      </c>
      <c r="D89">
        <v>4</v>
      </c>
      <c r="E89" t="s">
        <v>498</v>
      </c>
    </row>
    <row r="90" spans="1:5" x14ac:dyDescent="0.25">
      <c r="A90" t="s">
        <v>171</v>
      </c>
      <c r="B90" t="s">
        <v>170</v>
      </c>
      <c r="C90" t="s">
        <v>172</v>
      </c>
      <c r="D90">
        <v>2</v>
      </c>
      <c r="E90" t="s">
        <v>150</v>
      </c>
    </row>
    <row r="91" spans="1:5" x14ac:dyDescent="0.25">
      <c r="A91" t="s">
        <v>146</v>
      </c>
      <c r="B91" t="s">
        <v>170</v>
      </c>
      <c r="C91" t="s">
        <v>147</v>
      </c>
      <c r="D91">
        <v>2</v>
      </c>
      <c r="E91" t="s">
        <v>150</v>
      </c>
    </row>
    <row r="92" spans="1:5" x14ac:dyDescent="0.25">
      <c r="A92" t="s">
        <v>251</v>
      </c>
      <c r="B92" t="s">
        <v>302</v>
      </c>
      <c r="C92" t="s">
        <v>252</v>
      </c>
      <c r="D92">
        <v>0.5</v>
      </c>
      <c r="E92" t="s">
        <v>30</v>
      </c>
    </row>
    <row r="93" spans="1:5" x14ac:dyDescent="0.25">
      <c r="A93" t="s">
        <v>248</v>
      </c>
      <c r="B93" t="s">
        <v>302</v>
      </c>
      <c r="C93" t="s">
        <v>249</v>
      </c>
      <c r="D93">
        <v>2</v>
      </c>
      <c r="E93" t="s">
        <v>493</v>
      </c>
    </row>
    <row r="94" spans="1:5" x14ac:dyDescent="0.25">
      <c r="A94" t="s">
        <v>333</v>
      </c>
      <c r="B94" t="s">
        <v>302</v>
      </c>
      <c r="C94" t="s">
        <v>334</v>
      </c>
      <c r="D94">
        <v>0.5</v>
      </c>
      <c r="E94" t="s">
        <v>329</v>
      </c>
    </row>
    <row r="95" spans="1:5" x14ac:dyDescent="0.25">
      <c r="A95" t="s">
        <v>98</v>
      </c>
      <c r="B95" t="s">
        <v>100</v>
      </c>
      <c r="C95" t="s">
        <v>99</v>
      </c>
      <c r="D95">
        <v>1</v>
      </c>
      <c r="E95" t="s">
        <v>486</v>
      </c>
    </row>
    <row r="96" spans="1:5" x14ac:dyDescent="0.25">
      <c r="A96" t="s">
        <v>103</v>
      </c>
      <c r="B96" t="s">
        <v>100</v>
      </c>
      <c r="C96" t="s">
        <v>104</v>
      </c>
      <c r="D96">
        <v>3</v>
      </c>
      <c r="E96" t="s">
        <v>489</v>
      </c>
    </row>
    <row r="97" spans="1:5" x14ac:dyDescent="0.25">
      <c r="A97" t="s">
        <v>423</v>
      </c>
      <c r="B97" t="s">
        <v>425</v>
      </c>
      <c r="C97" t="s">
        <v>424</v>
      </c>
      <c r="D97">
        <v>2</v>
      </c>
      <c r="E97" t="s">
        <v>60</v>
      </c>
    </row>
    <row r="98" spans="1:5" x14ac:dyDescent="0.25">
      <c r="A98" t="s">
        <v>152</v>
      </c>
      <c r="B98" t="s">
        <v>154</v>
      </c>
      <c r="C98" t="s">
        <v>245</v>
      </c>
      <c r="D98">
        <v>2</v>
      </c>
      <c r="E98" t="s">
        <v>481</v>
      </c>
    </row>
    <row r="99" spans="1:5" x14ac:dyDescent="0.25">
      <c r="A99" t="s">
        <v>152</v>
      </c>
      <c r="B99" t="s">
        <v>154</v>
      </c>
      <c r="C99" t="s">
        <v>153</v>
      </c>
      <c r="D99">
        <v>2</v>
      </c>
      <c r="E99" t="s">
        <v>155</v>
      </c>
    </row>
    <row r="100" spans="1:5" x14ac:dyDescent="0.25">
      <c r="A100" t="s">
        <v>243</v>
      </c>
      <c r="B100" t="s">
        <v>154</v>
      </c>
      <c r="C100" t="s">
        <v>244</v>
      </c>
      <c r="D100">
        <v>2</v>
      </c>
      <c r="E100" t="s">
        <v>54</v>
      </c>
    </row>
    <row r="101" spans="1:5" x14ac:dyDescent="0.25">
      <c r="A101" t="s">
        <v>310</v>
      </c>
      <c r="B101" t="s">
        <v>154</v>
      </c>
      <c r="C101" t="s">
        <v>311</v>
      </c>
      <c r="D101">
        <v>4</v>
      </c>
      <c r="E101" t="s">
        <v>54</v>
      </c>
    </row>
    <row r="102" spans="1:5" x14ac:dyDescent="0.25">
      <c r="A102" t="s">
        <v>32</v>
      </c>
      <c r="B102" t="s">
        <v>34</v>
      </c>
      <c r="C102" t="s">
        <v>33</v>
      </c>
      <c r="D102">
        <v>2</v>
      </c>
      <c r="E102" t="s">
        <v>35</v>
      </c>
    </row>
    <row r="103" spans="1:5" x14ac:dyDescent="0.25">
      <c r="A103" t="s">
        <v>404</v>
      </c>
      <c r="B103" t="s">
        <v>34</v>
      </c>
      <c r="C103" t="s">
        <v>405</v>
      </c>
      <c r="D103">
        <v>2</v>
      </c>
      <c r="E103" t="s">
        <v>406</v>
      </c>
    </row>
    <row r="104" spans="1:5" x14ac:dyDescent="0.25">
      <c r="A104" t="s">
        <v>225</v>
      </c>
      <c r="B104" t="s">
        <v>227</v>
      </c>
      <c r="C104" t="s">
        <v>226</v>
      </c>
      <c r="D104">
        <v>2</v>
      </c>
      <c r="E104" t="s">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280D-D525-4CC6-A4C3-D89B9E8AB292}">
  <sheetPr codeName="Sheet8">
    <tabColor rgb="FF00B050"/>
  </sheetPr>
  <dimension ref="A1:G104"/>
  <sheetViews>
    <sheetView workbookViewId="0">
      <selection activeCell="C34" sqref="C34"/>
    </sheetView>
  </sheetViews>
  <sheetFormatPr defaultRowHeight="15" x14ac:dyDescent="0.25"/>
  <cols>
    <col min="1" max="1" width="12.140625" customWidth="1"/>
    <col min="2" max="2" width="29.140625" bestFit="1" customWidth="1"/>
    <col min="3" max="3" width="99.28515625" bestFit="1" customWidth="1"/>
    <col min="4" max="4" width="15.7109375" customWidth="1"/>
    <col min="5" max="5" width="52.28515625" bestFit="1" customWidth="1"/>
  </cols>
  <sheetData>
    <row r="1" spans="1:7" x14ac:dyDescent="0.25">
      <c r="A1" s="260" t="s">
        <v>467</v>
      </c>
      <c r="B1" s="257" t="s">
        <v>3</v>
      </c>
      <c r="C1" s="257" t="s">
        <v>466</v>
      </c>
      <c r="D1" s="257" t="s">
        <v>468</v>
      </c>
      <c r="E1" s="261" t="s">
        <v>12</v>
      </c>
      <c r="F1" s="262" t="s">
        <v>463</v>
      </c>
      <c r="G1" s="262" t="s">
        <v>464</v>
      </c>
    </row>
    <row r="2" spans="1:7" x14ac:dyDescent="0.25">
      <c r="A2" t="s">
        <v>205</v>
      </c>
      <c r="B2" t="s">
        <v>207</v>
      </c>
      <c r="C2" t="s">
        <v>206</v>
      </c>
      <c r="D2">
        <v>1</v>
      </c>
      <c r="E2" t="s">
        <v>54</v>
      </c>
    </row>
    <row r="3" spans="1:7" x14ac:dyDescent="0.25">
      <c r="A3" t="s">
        <v>208</v>
      </c>
      <c r="B3" t="s">
        <v>207</v>
      </c>
      <c r="C3" t="s">
        <v>209</v>
      </c>
      <c r="D3">
        <v>1</v>
      </c>
      <c r="E3" t="s">
        <v>54</v>
      </c>
    </row>
    <row r="4" spans="1:7" x14ac:dyDescent="0.25">
      <c r="A4" t="s">
        <v>263</v>
      </c>
      <c r="B4" t="s">
        <v>231</v>
      </c>
      <c r="C4" t="s">
        <v>264</v>
      </c>
      <c r="D4">
        <v>2</v>
      </c>
      <c r="E4" t="s">
        <v>491</v>
      </c>
    </row>
    <row r="5" spans="1:7" x14ac:dyDescent="0.25">
      <c r="A5" t="s">
        <v>229</v>
      </c>
      <c r="B5" t="s">
        <v>231</v>
      </c>
      <c r="C5" t="s">
        <v>230</v>
      </c>
      <c r="D5">
        <v>3</v>
      </c>
      <c r="E5" t="s">
        <v>54</v>
      </c>
    </row>
    <row r="6" spans="1:7" x14ac:dyDescent="0.25">
      <c r="A6" t="s">
        <v>261</v>
      </c>
      <c r="B6" t="s">
        <v>148</v>
      </c>
      <c r="C6" t="s">
        <v>262</v>
      </c>
      <c r="D6">
        <v>3</v>
      </c>
      <c r="E6" t="s">
        <v>500</v>
      </c>
    </row>
    <row r="7" spans="1:7" x14ac:dyDescent="0.25">
      <c r="A7" t="s">
        <v>258</v>
      </c>
      <c r="B7" t="s">
        <v>148</v>
      </c>
      <c r="C7" t="s">
        <v>259</v>
      </c>
      <c r="D7">
        <v>1</v>
      </c>
      <c r="E7" t="s">
        <v>501</v>
      </c>
    </row>
    <row r="8" spans="1:7" x14ac:dyDescent="0.25">
      <c r="A8" t="s">
        <v>358</v>
      </c>
      <c r="B8" t="s">
        <v>148</v>
      </c>
      <c r="C8" t="s">
        <v>359</v>
      </c>
      <c r="D8">
        <v>1</v>
      </c>
      <c r="E8" t="s">
        <v>465</v>
      </c>
    </row>
    <row r="9" spans="1:7" x14ac:dyDescent="0.25">
      <c r="A9" t="s">
        <v>168</v>
      </c>
      <c r="B9" t="s">
        <v>148</v>
      </c>
      <c r="C9" t="s">
        <v>169</v>
      </c>
      <c r="D9">
        <v>2</v>
      </c>
      <c r="E9" t="s">
        <v>504</v>
      </c>
    </row>
    <row r="10" spans="1:7" x14ac:dyDescent="0.25">
      <c r="A10" t="s">
        <v>171</v>
      </c>
      <c r="B10" t="s">
        <v>148</v>
      </c>
      <c r="C10" t="s">
        <v>172</v>
      </c>
      <c r="D10">
        <v>2</v>
      </c>
      <c r="E10" t="s">
        <v>150</v>
      </c>
    </row>
    <row r="11" spans="1:7" x14ac:dyDescent="0.25">
      <c r="A11" t="s">
        <v>146</v>
      </c>
      <c r="B11" t="s">
        <v>148</v>
      </c>
      <c r="C11" t="s">
        <v>506</v>
      </c>
      <c r="D11">
        <v>2</v>
      </c>
      <c r="E11" t="s">
        <v>150</v>
      </c>
    </row>
    <row r="12" spans="1:7" x14ac:dyDescent="0.25">
      <c r="A12" t="s">
        <v>303</v>
      </c>
      <c r="B12" t="s">
        <v>305</v>
      </c>
      <c r="C12" t="s">
        <v>304</v>
      </c>
      <c r="D12">
        <v>2</v>
      </c>
      <c r="E12" t="s">
        <v>105</v>
      </c>
    </row>
    <row r="13" spans="1:7" x14ac:dyDescent="0.25">
      <c r="A13" t="s">
        <v>67</v>
      </c>
      <c r="B13" t="s">
        <v>69</v>
      </c>
      <c r="C13" t="s">
        <v>68</v>
      </c>
      <c r="D13">
        <v>2</v>
      </c>
      <c r="E13" t="s">
        <v>70</v>
      </c>
    </row>
    <row r="14" spans="1:7" x14ac:dyDescent="0.25">
      <c r="A14" t="s">
        <v>156</v>
      </c>
      <c r="B14" t="s">
        <v>69</v>
      </c>
      <c r="C14" t="s">
        <v>157</v>
      </c>
      <c r="D14">
        <v>4</v>
      </c>
      <c r="E14" t="s">
        <v>70</v>
      </c>
    </row>
    <row r="15" spans="1:7" x14ac:dyDescent="0.25">
      <c r="A15" t="s">
        <v>195</v>
      </c>
      <c r="B15" t="s">
        <v>69</v>
      </c>
      <c r="C15" t="s">
        <v>196</v>
      </c>
      <c r="D15">
        <v>2</v>
      </c>
      <c r="E15" t="s">
        <v>105</v>
      </c>
    </row>
    <row r="16" spans="1:7" x14ac:dyDescent="0.25">
      <c r="A16" t="s">
        <v>182</v>
      </c>
      <c r="B16" t="s">
        <v>184</v>
      </c>
      <c r="C16" t="s">
        <v>183</v>
      </c>
      <c r="D16">
        <v>0.6</v>
      </c>
      <c r="E16" t="s">
        <v>105</v>
      </c>
    </row>
    <row r="17" spans="1:5" x14ac:dyDescent="0.25">
      <c r="A17" t="s">
        <v>444</v>
      </c>
      <c r="B17" t="s">
        <v>184</v>
      </c>
      <c r="C17" t="s">
        <v>445</v>
      </c>
      <c r="D17">
        <v>0.5</v>
      </c>
      <c r="E17" t="s">
        <v>105</v>
      </c>
    </row>
    <row r="18" spans="1:5" x14ac:dyDescent="0.25">
      <c r="A18" t="s">
        <v>442</v>
      </c>
      <c r="B18" t="s">
        <v>184</v>
      </c>
      <c r="C18" t="s">
        <v>443</v>
      </c>
      <c r="D18">
        <v>2</v>
      </c>
      <c r="E18" t="s">
        <v>70</v>
      </c>
    </row>
    <row r="19" spans="1:5" x14ac:dyDescent="0.25">
      <c r="A19" t="s">
        <v>439</v>
      </c>
      <c r="B19" t="s">
        <v>199</v>
      </c>
      <c r="C19" t="s">
        <v>440</v>
      </c>
      <c r="D19">
        <v>0.5</v>
      </c>
      <c r="E19" t="s">
        <v>41</v>
      </c>
    </row>
    <row r="20" spans="1:5" x14ac:dyDescent="0.25">
      <c r="A20" t="s">
        <v>197</v>
      </c>
      <c r="B20" t="s">
        <v>199</v>
      </c>
      <c r="C20" t="s">
        <v>198</v>
      </c>
      <c r="D20">
        <v>1</v>
      </c>
      <c r="E20" t="s">
        <v>30</v>
      </c>
    </row>
    <row r="21" spans="1:5" x14ac:dyDescent="0.25">
      <c r="A21" t="s">
        <v>200</v>
      </c>
      <c r="B21" t="s">
        <v>199</v>
      </c>
      <c r="C21" t="s">
        <v>201</v>
      </c>
      <c r="D21">
        <v>1</v>
      </c>
      <c r="E21" t="s">
        <v>41</v>
      </c>
    </row>
    <row r="22" spans="1:5" x14ac:dyDescent="0.25">
      <c r="A22" t="s">
        <v>86</v>
      </c>
      <c r="B22" t="s">
        <v>88</v>
      </c>
      <c r="C22" t="s">
        <v>87</v>
      </c>
      <c r="D22">
        <v>3</v>
      </c>
      <c r="E22" t="s">
        <v>89</v>
      </c>
    </row>
    <row r="23" spans="1:5" x14ac:dyDescent="0.25">
      <c r="A23" t="s">
        <v>64</v>
      </c>
      <c r="B23" t="s">
        <v>66</v>
      </c>
      <c r="C23" t="s">
        <v>269</v>
      </c>
      <c r="D23">
        <v>2</v>
      </c>
      <c r="E23" t="s">
        <v>60</v>
      </c>
    </row>
    <row r="24" spans="1:5" x14ac:dyDescent="0.25">
      <c r="A24" t="s">
        <v>64</v>
      </c>
      <c r="B24" t="s">
        <v>66</v>
      </c>
      <c r="C24" t="s">
        <v>181</v>
      </c>
      <c r="D24">
        <v>2</v>
      </c>
      <c r="E24" t="s">
        <v>60</v>
      </c>
    </row>
    <row r="25" spans="1:5" x14ac:dyDescent="0.25">
      <c r="A25" t="s">
        <v>222</v>
      </c>
      <c r="B25" t="s">
        <v>224</v>
      </c>
      <c r="C25" t="s">
        <v>223</v>
      </c>
      <c r="D25">
        <v>2</v>
      </c>
      <c r="E25" t="s">
        <v>30</v>
      </c>
    </row>
    <row r="26" spans="1:5" x14ac:dyDescent="0.25">
      <c r="A26" t="s">
        <v>212</v>
      </c>
      <c r="B26" t="s">
        <v>214</v>
      </c>
      <c r="C26" t="s">
        <v>213</v>
      </c>
      <c r="D26">
        <v>2</v>
      </c>
      <c r="E26" t="s">
        <v>215</v>
      </c>
    </row>
    <row r="27" spans="1:5" x14ac:dyDescent="0.25">
      <c r="A27" t="s">
        <v>216</v>
      </c>
      <c r="B27" t="s">
        <v>214</v>
      </c>
      <c r="C27" t="s">
        <v>217</v>
      </c>
      <c r="D27">
        <v>1</v>
      </c>
      <c r="E27" t="s">
        <v>492</v>
      </c>
    </row>
    <row r="28" spans="1:5" x14ac:dyDescent="0.25">
      <c r="A28" t="s">
        <v>376</v>
      </c>
      <c r="B28" t="s">
        <v>378</v>
      </c>
      <c r="C28" t="s">
        <v>377</v>
      </c>
      <c r="D28">
        <v>4</v>
      </c>
      <c r="E28" t="s">
        <v>60</v>
      </c>
    </row>
    <row r="29" spans="1:5" x14ac:dyDescent="0.25">
      <c r="A29" t="s">
        <v>23</v>
      </c>
      <c r="B29" t="s">
        <v>25</v>
      </c>
      <c r="C29" t="s">
        <v>267</v>
      </c>
      <c r="D29">
        <v>2</v>
      </c>
      <c r="E29" t="s">
        <v>505</v>
      </c>
    </row>
    <row r="30" spans="1:5" x14ac:dyDescent="0.25">
      <c r="A30" t="s">
        <v>270</v>
      </c>
      <c r="B30" t="s">
        <v>38</v>
      </c>
      <c r="C30" t="s">
        <v>271</v>
      </c>
      <c r="D30">
        <v>2</v>
      </c>
      <c r="E30" t="s">
        <v>70</v>
      </c>
    </row>
    <row r="31" spans="1:5" x14ac:dyDescent="0.25">
      <c r="A31" t="s">
        <v>36</v>
      </c>
      <c r="B31" t="s">
        <v>38</v>
      </c>
      <c r="C31" t="s">
        <v>400</v>
      </c>
      <c r="D31">
        <v>1</v>
      </c>
      <c r="E31" t="s">
        <v>41</v>
      </c>
    </row>
    <row r="32" spans="1:5" x14ac:dyDescent="0.25">
      <c r="A32" t="s">
        <v>361</v>
      </c>
      <c r="B32" t="s">
        <v>363</v>
      </c>
      <c r="C32" t="s">
        <v>362</v>
      </c>
      <c r="D32">
        <v>2</v>
      </c>
      <c r="E32" t="s">
        <v>499</v>
      </c>
    </row>
    <row r="33" spans="1:5" x14ac:dyDescent="0.25">
      <c r="A33" t="s">
        <v>365</v>
      </c>
      <c r="B33" t="s">
        <v>363</v>
      </c>
      <c r="C33" t="s">
        <v>366</v>
      </c>
      <c r="D33">
        <v>2</v>
      </c>
      <c r="E33" t="s">
        <v>499</v>
      </c>
    </row>
    <row r="34" spans="1:5" x14ac:dyDescent="0.25">
      <c r="A34" t="s">
        <v>288</v>
      </c>
      <c r="B34" t="s">
        <v>290</v>
      </c>
      <c r="C34" t="s">
        <v>289</v>
      </c>
      <c r="D34">
        <v>2</v>
      </c>
      <c r="E34" t="s">
        <v>485</v>
      </c>
    </row>
    <row r="35" spans="1:5" x14ac:dyDescent="0.25">
      <c r="A35" t="s">
        <v>131</v>
      </c>
      <c r="B35" t="s">
        <v>133</v>
      </c>
      <c r="C35" t="s">
        <v>132</v>
      </c>
      <c r="D35">
        <v>1</v>
      </c>
      <c r="E35" t="s">
        <v>105</v>
      </c>
    </row>
    <row r="36" spans="1:5" x14ac:dyDescent="0.25">
      <c r="A36" t="s">
        <v>136</v>
      </c>
      <c r="B36" t="s">
        <v>133</v>
      </c>
      <c r="C36" t="s">
        <v>137</v>
      </c>
      <c r="D36">
        <v>1</v>
      </c>
      <c r="E36" t="s">
        <v>105</v>
      </c>
    </row>
    <row r="37" spans="1:5" x14ac:dyDescent="0.25">
      <c r="A37" t="s">
        <v>136</v>
      </c>
      <c r="B37" t="s">
        <v>133</v>
      </c>
      <c r="C37" t="s">
        <v>137</v>
      </c>
      <c r="D37">
        <v>2</v>
      </c>
      <c r="E37" t="s">
        <v>105</v>
      </c>
    </row>
    <row r="38" spans="1:5" x14ac:dyDescent="0.25">
      <c r="A38" t="s">
        <v>413</v>
      </c>
      <c r="B38" t="s">
        <v>412</v>
      </c>
      <c r="C38" t="s">
        <v>414</v>
      </c>
      <c r="D38">
        <v>2</v>
      </c>
      <c r="E38" t="s">
        <v>415</v>
      </c>
    </row>
    <row r="39" spans="1:5" x14ac:dyDescent="0.25">
      <c r="A39" t="s">
        <v>410</v>
      </c>
      <c r="B39" t="s">
        <v>412</v>
      </c>
      <c r="C39" t="s">
        <v>411</v>
      </c>
      <c r="D39">
        <v>2</v>
      </c>
      <c r="E39" t="s">
        <v>298</v>
      </c>
    </row>
    <row r="40" spans="1:5" x14ac:dyDescent="0.25">
      <c r="A40" t="s">
        <v>124</v>
      </c>
      <c r="B40" t="s">
        <v>126</v>
      </c>
      <c r="C40" t="s">
        <v>125</v>
      </c>
      <c r="D40">
        <v>2</v>
      </c>
      <c r="E40" t="s">
        <v>480</v>
      </c>
    </row>
    <row r="41" spans="1:5" x14ac:dyDescent="0.25">
      <c r="A41" t="s">
        <v>128</v>
      </c>
      <c r="B41" t="s">
        <v>126</v>
      </c>
      <c r="C41" t="s">
        <v>129</v>
      </c>
      <c r="D41">
        <v>2</v>
      </c>
      <c r="E41" t="s">
        <v>487</v>
      </c>
    </row>
    <row r="42" spans="1:5" x14ac:dyDescent="0.25">
      <c r="A42" t="s">
        <v>52</v>
      </c>
      <c r="B42" t="s">
        <v>50</v>
      </c>
      <c r="C42" t="s">
        <v>53</v>
      </c>
      <c r="D42">
        <v>1</v>
      </c>
      <c r="E42" t="s">
        <v>54</v>
      </c>
    </row>
    <row r="43" spans="1:5" x14ac:dyDescent="0.25">
      <c r="A43" t="s">
        <v>48</v>
      </c>
      <c r="B43" t="s">
        <v>50</v>
      </c>
      <c r="C43" t="s">
        <v>49</v>
      </c>
      <c r="D43">
        <v>2</v>
      </c>
      <c r="E43" t="s">
        <v>494</v>
      </c>
    </row>
    <row r="44" spans="1:5" x14ac:dyDescent="0.25">
      <c r="A44" t="s">
        <v>121</v>
      </c>
      <c r="B44" t="s">
        <v>50</v>
      </c>
      <c r="C44" t="s">
        <v>122</v>
      </c>
      <c r="D44">
        <v>4</v>
      </c>
      <c r="E44" t="s">
        <v>495</v>
      </c>
    </row>
    <row r="45" spans="1:5" x14ac:dyDescent="0.25">
      <c r="A45" t="s">
        <v>428</v>
      </c>
      <c r="B45" t="s">
        <v>50</v>
      </c>
      <c r="C45" t="s">
        <v>429</v>
      </c>
      <c r="D45">
        <v>2</v>
      </c>
      <c r="E45" t="s">
        <v>417</v>
      </c>
    </row>
    <row r="46" spans="1:5" x14ac:dyDescent="0.25">
      <c r="A46" t="s">
        <v>111</v>
      </c>
      <c r="B46" t="s">
        <v>416</v>
      </c>
      <c r="C46" t="s">
        <v>112</v>
      </c>
      <c r="D46">
        <v>2</v>
      </c>
      <c r="E46" t="s">
        <v>483</v>
      </c>
    </row>
    <row r="47" spans="1:5" x14ac:dyDescent="0.25">
      <c r="A47" t="s">
        <v>193</v>
      </c>
      <c r="B47" t="s">
        <v>191</v>
      </c>
      <c r="C47" t="s">
        <v>450</v>
      </c>
      <c r="D47">
        <v>2</v>
      </c>
      <c r="E47" t="s">
        <v>54</v>
      </c>
    </row>
    <row r="48" spans="1:5" x14ac:dyDescent="0.25">
      <c r="A48" t="s">
        <v>189</v>
      </c>
      <c r="B48" t="s">
        <v>191</v>
      </c>
      <c r="C48" t="s">
        <v>448</v>
      </c>
      <c r="D48">
        <v>0.6</v>
      </c>
      <c r="E48" t="s">
        <v>54</v>
      </c>
    </row>
    <row r="49" spans="1:5" x14ac:dyDescent="0.25">
      <c r="A49" t="s">
        <v>189</v>
      </c>
      <c r="B49" t="s">
        <v>191</v>
      </c>
      <c r="C49" t="s">
        <v>190</v>
      </c>
      <c r="D49">
        <v>0.6</v>
      </c>
      <c r="E49" t="s">
        <v>54</v>
      </c>
    </row>
    <row r="50" spans="1:5" x14ac:dyDescent="0.25">
      <c r="A50" t="s">
        <v>344</v>
      </c>
      <c r="B50" t="s">
        <v>346</v>
      </c>
      <c r="C50" t="s">
        <v>345</v>
      </c>
      <c r="D50">
        <v>2</v>
      </c>
      <c r="E50" t="s">
        <v>286</v>
      </c>
    </row>
    <row r="51" spans="1:5" x14ac:dyDescent="0.25">
      <c r="A51" t="s">
        <v>294</v>
      </c>
      <c r="B51" t="s">
        <v>76</v>
      </c>
      <c r="C51" t="s">
        <v>295</v>
      </c>
      <c r="D51">
        <v>4</v>
      </c>
      <c r="E51" t="s">
        <v>296</v>
      </c>
    </row>
    <row r="52" spans="1:5" x14ac:dyDescent="0.25">
      <c r="A52" t="s">
        <v>74</v>
      </c>
      <c r="B52" t="s">
        <v>76</v>
      </c>
      <c r="C52" t="s">
        <v>75</v>
      </c>
      <c r="D52">
        <v>3</v>
      </c>
      <c r="E52" t="s">
        <v>60</v>
      </c>
    </row>
    <row r="53" spans="1:5" x14ac:dyDescent="0.25">
      <c r="A53" t="s">
        <v>256</v>
      </c>
      <c r="B53" t="s">
        <v>76</v>
      </c>
      <c r="C53" t="s">
        <v>257</v>
      </c>
      <c r="D53">
        <v>3</v>
      </c>
      <c r="E53" t="s">
        <v>105</v>
      </c>
    </row>
    <row r="54" spans="1:5" x14ac:dyDescent="0.25">
      <c r="A54" t="s">
        <v>106</v>
      </c>
      <c r="B54" t="s">
        <v>418</v>
      </c>
      <c r="C54" t="s">
        <v>107</v>
      </c>
      <c r="D54">
        <v>2</v>
      </c>
      <c r="E54" t="s">
        <v>484</v>
      </c>
    </row>
    <row r="55" spans="1:5" x14ac:dyDescent="0.25">
      <c r="A55" t="s">
        <v>80</v>
      </c>
      <c r="B55" t="s">
        <v>82</v>
      </c>
      <c r="C55" t="s">
        <v>319</v>
      </c>
      <c r="D55">
        <v>0.5</v>
      </c>
      <c r="E55" t="s">
        <v>285</v>
      </c>
    </row>
    <row r="56" spans="1:5" x14ac:dyDescent="0.25">
      <c r="A56" t="s">
        <v>80</v>
      </c>
      <c r="B56" t="s">
        <v>82</v>
      </c>
      <c r="C56" t="s">
        <v>81</v>
      </c>
      <c r="D56">
        <v>0.5</v>
      </c>
      <c r="E56" t="s">
        <v>47</v>
      </c>
    </row>
    <row r="57" spans="1:5" x14ac:dyDescent="0.25">
      <c r="A57" t="s">
        <v>71</v>
      </c>
      <c r="B57" t="s">
        <v>73</v>
      </c>
      <c r="C57" t="s">
        <v>72</v>
      </c>
      <c r="D57">
        <v>2</v>
      </c>
      <c r="E57" t="s">
        <v>497</v>
      </c>
    </row>
    <row r="58" spans="1:5" x14ac:dyDescent="0.25">
      <c r="A58" t="s">
        <v>55</v>
      </c>
      <c r="B58" t="s">
        <v>57</v>
      </c>
      <c r="C58" t="s">
        <v>56</v>
      </c>
      <c r="D58">
        <v>2</v>
      </c>
      <c r="E58" t="s">
        <v>479</v>
      </c>
    </row>
    <row r="59" spans="1:5" x14ac:dyDescent="0.25">
      <c r="A59" t="s">
        <v>55</v>
      </c>
      <c r="B59" t="s">
        <v>57</v>
      </c>
      <c r="C59" t="s">
        <v>59</v>
      </c>
      <c r="D59">
        <v>2</v>
      </c>
      <c r="E59" t="s">
        <v>60</v>
      </c>
    </row>
    <row r="60" spans="1:5" x14ac:dyDescent="0.25">
      <c r="A60" t="s">
        <v>331</v>
      </c>
      <c r="B60" t="s">
        <v>57</v>
      </c>
      <c r="C60" t="s">
        <v>332</v>
      </c>
      <c r="D60">
        <v>1</v>
      </c>
      <c r="E60" t="s">
        <v>105</v>
      </c>
    </row>
    <row r="61" spans="1:5" x14ac:dyDescent="0.25">
      <c r="A61" t="s">
        <v>434</v>
      </c>
      <c r="B61" t="s">
        <v>57</v>
      </c>
      <c r="C61" t="s">
        <v>59</v>
      </c>
      <c r="D61">
        <v>2</v>
      </c>
      <c r="E61" t="s">
        <v>60</v>
      </c>
    </row>
    <row r="62" spans="1:5" x14ac:dyDescent="0.25">
      <c r="A62" t="s">
        <v>43</v>
      </c>
      <c r="B62" t="s">
        <v>45</v>
      </c>
      <c r="C62" t="s">
        <v>44</v>
      </c>
      <c r="D62">
        <v>2</v>
      </c>
      <c r="E62" t="s">
        <v>478</v>
      </c>
    </row>
    <row r="63" spans="1:5" x14ac:dyDescent="0.25">
      <c r="A63" t="s">
        <v>306</v>
      </c>
      <c r="B63" t="s">
        <v>308</v>
      </c>
      <c r="C63" t="s">
        <v>307</v>
      </c>
      <c r="D63">
        <v>2</v>
      </c>
      <c r="E63" t="s">
        <v>105</v>
      </c>
    </row>
    <row r="64" spans="1:5" x14ac:dyDescent="0.25">
      <c r="A64" t="s">
        <v>436</v>
      </c>
      <c r="B64" t="s">
        <v>308</v>
      </c>
      <c r="C64" t="s">
        <v>437</v>
      </c>
      <c r="D64">
        <v>2</v>
      </c>
      <c r="E64" t="s">
        <v>438</v>
      </c>
    </row>
    <row r="65" spans="1:5" x14ac:dyDescent="0.25">
      <c r="A65" t="s">
        <v>139</v>
      </c>
      <c r="B65" t="s">
        <v>141</v>
      </c>
      <c r="C65" t="s">
        <v>140</v>
      </c>
      <c r="D65">
        <v>2</v>
      </c>
      <c r="E65" t="s">
        <v>476</v>
      </c>
    </row>
    <row r="66" spans="1:5" x14ac:dyDescent="0.25">
      <c r="A66" t="s">
        <v>143</v>
      </c>
      <c r="B66" t="s">
        <v>141</v>
      </c>
      <c r="C66" t="s">
        <v>144</v>
      </c>
      <c r="D66">
        <v>2</v>
      </c>
      <c r="E66" t="s">
        <v>477</v>
      </c>
    </row>
    <row r="67" spans="1:5" x14ac:dyDescent="0.25">
      <c r="A67" t="s">
        <v>413</v>
      </c>
      <c r="B67" t="s">
        <v>141</v>
      </c>
      <c r="C67" t="s">
        <v>414</v>
      </c>
      <c r="D67">
        <v>2</v>
      </c>
      <c r="E67" t="s">
        <v>426</v>
      </c>
    </row>
    <row r="68" spans="1:5" x14ac:dyDescent="0.25">
      <c r="A68" t="s">
        <v>77</v>
      </c>
      <c r="B68" t="s">
        <v>79</v>
      </c>
      <c r="C68" t="s">
        <v>78</v>
      </c>
      <c r="D68">
        <v>2</v>
      </c>
      <c r="E68" t="s">
        <v>60</v>
      </c>
    </row>
    <row r="69" spans="1:5" x14ac:dyDescent="0.25">
      <c r="A69" t="s">
        <v>160</v>
      </c>
      <c r="B69" t="s">
        <v>79</v>
      </c>
      <c r="C69" t="s">
        <v>161</v>
      </c>
      <c r="D69">
        <v>4</v>
      </c>
      <c r="E69" t="s">
        <v>490</v>
      </c>
    </row>
    <row r="70" spans="1:5" x14ac:dyDescent="0.25">
      <c r="A70" t="s">
        <v>160</v>
      </c>
      <c r="B70" t="s">
        <v>399</v>
      </c>
      <c r="C70" t="s">
        <v>161</v>
      </c>
      <c r="D70">
        <v>4</v>
      </c>
      <c r="E70" t="s">
        <v>105</v>
      </c>
    </row>
    <row r="71" spans="1:5" x14ac:dyDescent="0.25">
      <c r="A71" t="s">
        <v>380</v>
      </c>
      <c r="B71" t="s">
        <v>382</v>
      </c>
      <c r="C71" t="s">
        <v>381</v>
      </c>
      <c r="D71">
        <v>4</v>
      </c>
      <c r="E71" t="s">
        <v>60</v>
      </c>
    </row>
    <row r="72" spans="1:5" x14ac:dyDescent="0.25">
      <c r="A72" t="s">
        <v>170</v>
      </c>
      <c r="B72" t="s">
        <v>348</v>
      </c>
      <c r="C72" t="s">
        <v>347</v>
      </c>
      <c r="D72">
        <v>1</v>
      </c>
      <c r="E72" t="s">
        <v>286</v>
      </c>
    </row>
    <row r="73" spans="1:5" x14ac:dyDescent="0.25">
      <c r="A73" t="s">
        <v>170</v>
      </c>
      <c r="B73" t="s">
        <v>348</v>
      </c>
      <c r="C73" t="s">
        <v>349</v>
      </c>
      <c r="D73">
        <v>1</v>
      </c>
      <c r="E73" t="s">
        <v>105</v>
      </c>
    </row>
    <row r="74" spans="1:5" x14ac:dyDescent="0.25">
      <c r="A74" t="s">
        <v>326</v>
      </c>
      <c r="B74" t="s">
        <v>328</v>
      </c>
      <c r="C74" t="s">
        <v>327</v>
      </c>
      <c r="D74">
        <v>2</v>
      </c>
      <c r="E74" t="s">
        <v>60</v>
      </c>
    </row>
    <row r="75" spans="1:5" x14ac:dyDescent="0.25">
      <c r="A75" t="s">
        <v>336</v>
      </c>
      <c r="B75" t="s">
        <v>338</v>
      </c>
      <c r="C75" t="s">
        <v>337</v>
      </c>
      <c r="D75">
        <v>2</v>
      </c>
      <c r="E75" t="s">
        <v>482</v>
      </c>
    </row>
    <row r="76" spans="1:5" x14ac:dyDescent="0.25">
      <c r="A76" t="s">
        <v>298</v>
      </c>
      <c r="B76" t="s">
        <v>300</v>
      </c>
      <c r="C76" t="s">
        <v>299</v>
      </c>
      <c r="D76">
        <v>2</v>
      </c>
      <c r="E76" t="s">
        <v>41</v>
      </c>
    </row>
    <row r="77" spans="1:5" x14ac:dyDescent="0.25">
      <c r="A77" t="s">
        <v>298</v>
      </c>
      <c r="B77" t="s">
        <v>300</v>
      </c>
      <c r="C77" t="s">
        <v>301</v>
      </c>
      <c r="D77">
        <v>2</v>
      </c>
      <c r="E77" t="s">
        <v>285</v>
      </c>
    </row>
    <row r="78" spans="1:5" x14ac:dyDescent="0.25">
      <c r="A78" t="s">
        <v>390</v>
      </c>
      <c r="B78" t="s">
        <v>389</v>
      </c>
      <c r="C78" t="s">
        <v>391</v>
      </c>
      <c r="D78">
        <v>3</v>
      </c>
      <c r="E78" t="s">
        <v>392</v>
      </c>
    </row>
    <row r="79" spans="1:5" x14ac:dyDescent="0.25">
      <c r="A79" t="s">
        <v>115</v>
      </c>
      <c r="B79" t="s">
        <v>389</v>
      </c>
      <c r="C79" t="s">
        <v>116</v>
      </c>
      <c r="D79">
        <v>2</v>
      </c>
      <c r="E79" t="s">
        <v>496</v>
      </c>
    </row>
    <row r="80" spans="1:5" x14ac:dyDescent="0.25">
      <c r="A80" t="s">
        <v>119</v>
      </c>
      <c r="B80" t="s">
        <v>389</v>
      </c>
      <c r="C80" t="s">
        <v>120</v>
      </c>
      <c r="D80">
        <v>2</v>
      </c>
      <c r="E80" t="s">
        <v>497</v>
      </c>
    </row>
    <row r="81" spans="1:5" x14ac:dyDescent="0.25">
      <c r="A81" t="s">
        <v>387</v>
      </c>
      <c r="B81" t="s">
        <v>389</v>
      </c>
      <c r="C81" t="s">
        <v>388</v>
      </c>
      <c r="D81">
        <v>1</v>
      </c>
      <c r="E81" t="s">
        <v>503</v>
      </c>
    </row>
    <row r="82" spans="1:5" x14ac:dyDescent="0.25">
      <c r="A82" t="s">
        <v>408</v>
      </c>
      <c r="B82" t="s">
        <v>63</v>
      </c>
      <c r="C82" t="s">
        <v>409</v>
      </c>
      <c r="D82">
        <v>1</v>
      </c>
      <c r="E82" t="s">
        <v>41</v>
      </c>
    </row>
    <row r="83" spans="1:5" x14ac:dyDescent="0.25">
      <c r="A83" t="s">
        <v>61</v>
      </c>
      <c r="B83" t="s">
        <v>63</v>
      </c>
      <c r="C83" t="s">
        <v>62</v>
      </c>
      <c r="D83">
        <v>2</v>
      </c>
      <c r="E83" t="s">
        <v>497</v>
      </c>
    </row>
    <row r="84" spans="1:5" x14ac:dyDescent="0.25">
      <c r="A84" t="s">
        <v>218</v>
      </c>
      <c r="B84" t="s">
        <v>220</v>
      </c>
      <c r="C84" t="s">
        <v>219</v>
      </c>
      <c r="D84">
        <v>2</v>
      </c>
      <c r="E84" t="s">
        <v>502</v>
      </c>
    </row>
    <row r="85" spans="1:5" x14ac:dyDescent="0.25">
      <c r="A85" t="s">
        <v>383</v>
      </c>
      <c r="B85" t="s">
        <v>385</v>
      </c>
      <c r="C85" t="s">
        <v>384</v>
      </c>
      <c r="D85">
        <v>3</v>
      </c>
      <c r="E85" t="s">
        <v>215</v>
      </c>
    </row>
    <row r="86" spans="1:5" x14ac:dyDescent="0.25">
      <c r="A86" t="s">
        <v>202</v>
      </c>
      <c r="B86" t="s">
        <v>204</v>
      </c>
      <c r="C86" t="s">
        <v>203</v>
      </c>
      <c r="D86">
        <v>2</v>
      </c>
      <c r="E86" t="s">
        <v>488</v>
      </c>
    </row>
    <row r="87" spans="1:5" x14ac:dyDescent="0.25">
      <c r="A87" t="s">
        <v>350</v>
      </c>
      <c r="B87" t="s">
        <v>352</v>
      </c>
      <c r="C87" t="s">
        <v>351</v>
      </c>
      <c r="D87">
        <v>2</v>
      </c>
      <c r="E87" t="s">
        <v>286</v>
      </c>
    </row>
    <row r="88" spans="1:5" x14ac:dyDescent="0.25">
      <c r="A88" t="s">
        <v>322</v>
      </c>
      <c r="B88" t="s">
        <v>324</v>
      </c>
      <c r="C88" t="s">
        <v>323</v>
      </c>
      <c r="D88">
        <v>1</v>
      </c>
      <c r="E88" t="s">
        <v>325</v>
      </c>
    </row>
    <row r="89" spans="1:5" x14ac:dyDescent="0.25">
      <c r="A89" t="s">
        <v>185</v>
      </c>
      <c r="B89" t="s">
        <v>187</v>
      </c>
      <c r="C89" t="s">
        <v>186</v>
      </c>
      <c r="D89">
        <v>4</v>
      </c>
      <c r="E89" t="s">
        <v>498</v>
      </c>
    </row>
    <row r="90" spans="1:5" x14ac:dyDescent="0.25">
      <c r="A90" t="s">
        <v>171</v>
      </c>
      <c r="B90" t="s">
        <v>170</v>
      </c>
      <c r="C90" t="s">
        <v>172</v>
      </c>
      <c r="D90">
        <v>2</v>
      </c>
      <c r="E90" t="s">
        <v>150</v>
      </c>
    </row>
    <row r="91" spans="1:5" x14ac:dyDescent="0.25">
      <c r="A91" t="s">
        <v>146</v>
      </c>
      <c r="B91" t="s">
        <v>170</v>
      </c>
      <c r="C91" t="s">
        <v>147</v>
      </c>
      <c r="D91">
        <v>2</v>
      </c>
      <c r="E91" t="s">
        <v>150</v>
      </c>
    </row>
    <row r="92" spans="1:5" x14ac:dyDescent="0.25">
      <c r="A92" t="s">
        <v>251</v>
      </c>
      <c r="B92" t="s">
        <v>302</v>
      </c>
      <c r="C92" t="s">
        <v>252</v>
      </c>
      <c r="D92">
        <v>0.5</v>
      </c>
      <c r="E92" t="s">
        <v>30</v>
      </c>
    </row>
    <row r="93" spans="1:5" x14ac:dyDescent="0.25">
      <c r="A93" t="s">
        <v>248</v>
      </c>
      <c r="B93" t="s">
        <v>302</v>
      </c>
      <c r="C93" t="s">
        <v>249</v>
      </c>
      <c r="D93">
        <v>2</v>
      </c>
      <c r="E93" t="s">
        <v>493</v>
      </c>
    </row>
    <row r="94" spans="1:5" x14ac:dyDescent="0.25">
      <c r="A94" t="s">
        <v>333</v>
      </c>
      <c r="B94" t="s">
        <v>302</v>
      </c>
      <c r="C94" t="s">
        <v>334</v>
      </c>
      <c r="D94">
        <v>0.5</v>
      </c>
      <c r="E94" t="s">
        <v>329</v>
      </c>
    </row>
    <row r="95" spans="1:5" x14ac:dyDescent="0.25">
      <c r="A95" t="s">
        <v>98</v>
      </c>
      <c r="B95" t="s">
        <v>100</v>
      </c>
      <c r="C95" t="s">
        <v>99</v>
      </c>
      <c r="D95">
        <v>1</v>
      </c>
      <c r="E95" t="s">
        <v>486</v>
      </c>
    </row>
    <row r="96" spans="1:5" x14ac:dyDescent="0.25">
      <c r="A96" t="s">
        <v>103</v>
      </c>
      <c r="B96" t="s">
        <v>100</v>
      </c>
      <c r="C96" t="s">
        <v>104</v>
      </c>
      <c r="D96">
        <v>3</v>
      </c>
      <c r="E96" t="s">
        <v>489</v>
      </c>
    </row>
    <row r="97" spans="1:5" x14ac:dyDescent="0.25">
      <c r="A97" t="s">
        <v>423</v>
      </c>
      <c r="B97" t="s">
        <v>425</v>
      </c>
      <c r="C97" t="s">
        <v>424</v>
      </c>
      <c r="D97">
        <v>2</v>
      </c>
      <c r="E97" t="s">
        <v>60</v>
      </c>
    </row>
    <row r="98" spans="1:5" x14ac:dyDescent="0.25">
      <c r="A98" t="s">
        <v>152</v>
      </c>
      <c r="B98" t="s">
        <v>154</v>
      </c>
      <c r="C98" t="s">
        <v>245</v>
      </c>
      <c r="D98">
        <v>2</v>
      </c>
      <c r="E98" t="s">
        <v>481</v>
      </c>
    </row>
    <row r="99" spans="1:5" x14ac:dyDescent="0.25">
      <c r="A99" t="s">
        <v>152</v>
      </c>
      <c r="B99" t="s">
        <v>154</v>
      </c>
      <c r="C99" t="s">
        <v>153</v>
      </c>
      <c r="D99">
        <v>2</v>
      </c>
      <c r="E99" t="s">
        <v>155</v>
      </c>
    </row>
    <row r="100" spans="1:5" x14ac:dyDescent="0.25">
      <c r="A100" t="s">
        <v>243</v>
      </c>
      <c r="B100" t="s">
        <v>154</v>
      </c>
      <c r="C100" t="s">
        <v>244</v>
      </c>
      <c r="D100">
        <v>2</v>
      </c>
      <c r="E100" t="s">
        <v>54</v>
      </c>
    </row>
    <row r="101" spans="1:5" x14ac:dyDescent="0.25">
      <c r="A101" t="s">
        <v>310</v>
      </c>
      <c r="B101" t="s">
        <v>154</v>
      </c>
      <c r="C101" t="s">
        <v>311</v>
      </c>
      <c r="D101">
        <v>4</v>
      </c>
      <c r="E101" t="s">
        <v>54</v>
      </c>
    </row>
    <row r="102" spans="1:5" x14ac:dyDescent="0.25">
      <c r="A102" t="s">
        <v>32</v>
      </c>
      <c r="B102" t="s">
        <v>34</v>
      </c>
      <c r="C102" t="s">
        <v>33</v>
      </c>
      <c r="D102">
        <v>2</v>
      </c>
      <c r="E102" t="s">
        <v>35</v>
      </c>
    </row>
    <row r="103" spans="1:5" x14ac:dyDescent="0.25">
      <c r="A103" t="s">
        <v>404</v>
      </c>
      <c r="B103" t="s">
        <v>34</v>
      </c>
      <c r="C103" t="s">
        <v>405</v>
      </c>
      <c r="D103">
        <v>2</v>
      </c>
      <c r="E103" t="s">
        <v>406</v>
      </c>
    </row>
    <row r="104" spans="1:5" x14ac:dyDescent="0.25">
      <c r="A104" t="s">
        <v>225</v>
      </c>
      <c r="B104" t="s">
        <v>227</v>
      </c>
      <c r="C104" t="s">
        <v>226</v>
      </c>
      <c r="D104">
        <v>2</v>
      </c>
      <c r="E104" t="s">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D150-E98C-41D1-8136-1D1281219F0B}">
  <sheetPr codeName="Sheet9"/>
  <dimension ref="A1:A55"/>
  <sheetViews>
    <sheetView workbookViewId="0">
      <selection activeCell="C16" sqref="C16"/>
    </sheetView>
  </sheetViews>
  <sheetFormatPr defaultRowHeight="15" x14ac:dyDescent="0.25"/>
  <cols>
    <col min="1" max="1" width="29.140625" bestFit="1" customWidth="1"/>
  </cols>
  <sheetData>
    <row r="1" spans="1:1" x14ac:dyDescent="0.25">
      <c r="A1" t="s">
        <v>472</v>
      </c>
    </row>
    <row r="2" spans="1:1" x14ac:dyDescent="0.25">
      <c r="A2" t="s">
        <v>509</v>
      </c>
    </row>
    <row r="3" spans="1:1" x14ac:dyDescent="0.25">
      <c r="A3" t="str" cm="1">
        <f t="array" ref="A3:A55">_xlfn.UNIQUE(Table68[Instructor])</f>
        <v>Annie Sheehan</v>
      </c>
    </row>
    <row r="4" spans="1:1" x14ac:dyDescent="0.25">
      <c r="A4" t="str">
        <v>April Callis-Birchmeier</v>
      </c>
    </row>
    <row r="5" spans="1:1" x14ac:dyDescent="0.25">
      <c r="A5" t="str">
        <v>Bob Maiale</v>
      </c>
    </row>
    <row r="6" spans="1:1" x14ac:dyDescent="0.25">
      <c r="A6" t="str">
        <v>Brad Bigelow</v>
      </c>
    </row>
    <row r="7" spans="1:1" x14ac:dyDescent="0.25">
      <c r="A7" t="str">
        <v>Brad Malone</v>
      </c>
    </row>
    <row r="8" spans="1:1" x14ac:dyDescent="0.25">
      <c r="A8" t="str">
        <v>Carl Pritchard</v>
      </c>
    </row>
    <row r="9" spans="1:1" x14ac:dyDescent="0.25">
      <c r="A9" t="str">
        <v>Carlene Szostak</v>
      </c>
    </row>
    <row r="10" spans="1:1" x14ac:dyDescent="0.25">
      <c r="A10" t="str">
        <v>Chris Leonard</v>
      </c>
    </row>
    <row r="11" spans="1:1" x14ac:dyDescent="0.25">
      <c r="A11" t="str">
        <v>Christine Aykac</v>
      </c>
    </row>
    <row r="12" spans="1:1" x14ac:dyDescent="0.25">
      <c r="A12" t="str">
        <v>Debra Howell</v>
      </c>
    </row>
    <row r="13" spans="1:1" x14ac:dyDescent="0.25">
      <c r="A13" t="str">
        <v>Drew Clark</v>
      </c>
    </row>
    <row r="14" spans="1:1" x14ac:dyDescent="0.25">
      <c r="A14" t="str">
        <v>Eric Foss</v>
      </c>
    </row>
    <row r="15" spans="1:1" x14ac:dyDescent="0.25">
      <c r="A15" t="str">
        <v>Erin Ramirez</v>
      </c>
    </row>
    <row r="16" spans="1:1" x14ac:dyDescent="0.25">
      <c r="A16" t="str">
        <v>Esra Tepeli</v>
      </c>
    </row>
    <row r="17" spans="1:1" x14ac:dyDescent="0.25">
      <c r="A17" t="str">
        <v>Frank Saladis</v>
      </c>
    </row>
    <row r="18" spans="1:1" x14ac:dyDescent="0.25">
      <c r="A18" t="str">
        <v>Greg Githens</v>
      </c>
    </row>
    <row r="19" spans="1:1" x14ac:dyDescent="0.25">
      <c r="A19" t="str">
        <v>Greta Blash</v>
      </c>
    </row>
    <row r="20" spans="1:1" x14ac:dyDescent="0.25">
      <c r="A20" t="str">
        <v>Hammer and Newman</v>
      </c>
    </row>
    <row r="21" spans="1:1" x14ac:dyDescent="0.25">
      <c r="A21" t="str">
        <v>Iain Fraser</v>
      </c>
    </row>
    <row r="22" spans="1:1" x14ac:dyDescent="0.25">
      <c r="A22" t="str">
        <v>Jack Duggal</v>
      </c>
    </row>
    <row r="23" spans="1:1" x14ac:dyDescent="0.25">
      <c r="A23" t="str">
        <v>Jeff Panning</v>
      </c>
    </row>
    <row r="24" spans="1:1" x14ac:dyDescent="0.25">
      <c r="A24" t="str">
        <v>Joseph Reed</v>
      </c>
    </row>
    <row r="25" spans="1:1" x14ac:dyDescent="0.25">
      <c r="A25" t="str">
        <v>Joshua Barnes</v>
      </c>
    </row>
    <row r="26" spans="1:1" x14ac:dyDescent="0.25">
      <c r="A26" t="str">
        <v>Joyce Brown, Thomas McCabe</v>
      </c>
    </row>
    <row r="27" spans="1:1" x14ac:dyDescent="0.25">
      <c r="A27" t="str">
        <v>Kandis Porter</v>
      </c>
    </row>
    <row r="28" spans="1:1" x14ac:dyDescent="0.25">
      <c r="A28" t="str">
        <v>Kathy Mendias</v>
      </c>
    </row>
    <row r="29" spans="1:1" x14ac:dyDescent="0.25">
      <c r="A29" t="str">
        <v>Klaus Boedker</v>
      </c>
    </row>
    <row r="30" spans="1:1" x14ac:dyDescent="0.25">
      <c r="A30" t="str">
        <v>Klaus Nielsen</v>
      </c>
    </row>
    <row r="31" spans="1:1" x14ac:dyDescent="0.25">
      <c r="A31" t="str">
        <v>Kristy Tan Neckowicz</v>
      </c>
    </row>
    <row r="32" spans="1:1" x14ac:dyDescent="0.25">
      <c r="A32" t="str">
        <v>Lisa DiTullio</v>
      </c>
    </row>
    <row r="33" spans="1:1" x14ac:dyDescent="0.25">
      <c r="A33" t="str">
        <v>Lisa Hammer, David Newman</v>
      </c>
    </row>
    <row r="34" spans="1:1" x14ac:dyDescent="0.25">
      <c r="A34" t="str">
        <v>Michel Thiry</v>
      </c>
    </row>
    <row r="35" spans="1:1" x14ac:dyDescent="0.25">
      <c r="A35" t="str">
        <v>Michel Thiry or Greg Martinez</v>
      </c>
    </row>
    <row r="36" spans="1:1" x14ac:dyDescent="0.25">
      <c r="A36" t="str">
        <v>Michel Thiry, Guillaume Lapierre</v>
      </c>
    </row>
    <row r="37" spans="1:1" x14ac:dyDescent="0.25">
      <c r="A37" t="str">
        <v>Mike Griffiths</v>
      </c>
    </row>
    <row r="38" spans="1:1" x14ac:dyDescent="0.25">
      <c r="A38" t="str">
        <v>Mohamed Khalifa</v>
      </c>
    </row>
    <row r="39" spans="1:1" x14ac:dyDescent="0.25">
      <c r="A39" t="str">
        <v>NK Shrivastava</v>
      </c>
    </row>
    <row r="40" spans="1:1" x14ac:dyDescent="0.25">
      <c r="A40" t="str">
        <v>Ori Schibi</v>
      </c>
    </row>
    <row r="41" spans="1:1" x14ac:dyDescent="0.25">
      <c r="A41" t="str">
        <v>Oscar Wasilik</v>
      </c>
    </row>
    <row r="42" spans="1:1" x14ac:dyDescent="0.25">
      <c r="A42" t="str">
        <v>Peter Ivanov</v>
      </c>
    </row>
    <row r="43" spans="1:1" x14ac:dyDescent="0.25">
      <c r="A43" t="str">
        <v>Rafsan Huseynov</v>
      </c>
    </row>
    <row r="44" spans="1:1" x14ac:dyDescent="0.25">
      <c r="A44" t="str">
        <v>Robert Bogue</v>
      </c>
    </row>
    <row r="45" spans="1:1" x14ac:dyDescent="0.25">
      <c r="A45" t="str">
        <v>Scott Burd</v>
      </c>
    </row>
    <row r="46" spans="1:1" x14ac:dyDescent="0.25">
      <c r="A46" t="str">
        <v>Scott Dunn</v>
      </c>
    </row>
    <row r="47" spans="1:1" x14ac:dyDescent="0.25">
      <c r="A47" t="str">
        <v>Subash Racoojmar</v>
      </c>
    </row>
    <row r="48" spans="1:1" x14ac:dyDescent="0.25">
      <c r="A48" t="str">
        <v>Sunny Faronbi</v>
      </c>
    </row>
    <row r="49" spans="1:1" x14ac:dyDescent="0.25">
      <c r="A49" t="str">
        <v>TBD</v>
      </c>
    </row>
    <row r="50" spans="1:1" x14ac:dyDescent="0.25">
      <c r="A50" t="str">
        <v>Teresa Lawrence</v>
      </c>
    </row>
    <row r="51" spans="1:1" x14ac:dyDescent="0.25">
      <c r="A51" t="str">
        <v>Thomas Jarocki</v>
      </c>
    </row>
    <row r="52" spans="1:1" x14ac:dyDescent="0.25">
      <c r="A52" t="str">
        <v>Tony Prensa</v>
      </c>
    </row>
    <row r="53" spans="1:1" x14ac:dyDescent="0.25">
      <c r="A53" t="str">
        <v>Traci Duez</v>
      </c>
    </row>
    <row r="54" spans="1:1" x14ac:dyDescent="0.25">
      <c r="A54" t="str">
        <v>Tyson Rydl</v>
      </c>
    </row>
    <row r="55" spans="1:1" x14ac:dyDescent="0.25">
      <c r="A55" t="str">
        <v>Vijay Verma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98642-AD75-4567-9518-C9CDC0D2030F}">
  <sheetPr codeName="Sheet10"/>
  <dimension ref="A1:A102"/>
  <sheetViews>
    <sheetView topLeftCell="A16" workbookViewId="0"/>
  </sheetViews>
  <sheetFormatPr defaultRowHeight="15" x14ac:dyDescent="0.25"/>
  <cols>
    <col min="1" max="1" width="29.140625" bestFit="1" customWidth="1"/>
  </cols>
  <sheetData>
    <row r="1" spans="1:1" x14ac:dyDescent="0.25">
      <c r="A1" t="s">
        <v>474</v>
      </c>
    </row>
    <row r="2" spans="1:1" x14ac:dyDescent="0.25">
      <c r="A2" t="s">
        <v>473</v>
      </c>
    </row>
    <row r="3" spans="1:1" x14ac:dyDescent="0.25">
      <c r="A3" t="str" cm="1">
        <f t="array" ref="A3:A102">_xlfn.UNIQUE('CourseList0.0'!C:C)</f>
        <v>Course_Name</v>
      </c>
    </row>
    <row r="4" spans="1:1" x14ac:dyDescent="0.25">
      <c r="A4" t="str">
        <v>A Non-Bootcamp Review of the PMBOK® Guide for Real-World Practitioners</v>
      </c>
    </row>
    <row r="5" spans="1:1" x14ac:dyDescent="0.25">
      <c r="A5" t="str">
        <v>Adapt, Adopt, and Accomplish for Project Management Success</v>
      </c>
    </row>
    <row r="6" spans="1:1" x14ac:dyDescent="0.25">
      <c r="A6" t="str">
        <v>Agile Fundamentals: Delivering Value</v>
      </c>
    </row>
    <row r="7" spans="1:1" x14ac:dyDescent="0.25">
      <c r="A7" t="str">
        <v>Aligning the Organization Through Portfolio Management</v>
      </c>
    </row>
    <row r="8" spans="1:1" x14ac:dyDescent="0.25">
      <c r="A8" t="str">
        <v>Build High-Performing Teams: Communicate, Motivate, Excel</v>
      </c>
    </row>
    <row r="9" spans="1:1" x14ac:dyDescent="0.25">
      <c r="A9" t="str">
        <v>Business Case—Best Practices for Success</v>
      </c>
    </row>
    <row r="10" spans="1:1" x14ac:dyDescent="0.25">
      <c r="A10" t="str">
        <v>Mastering Project Management Principles</v>
      </c>
    </row>
    <row r="11" spans="1:1" x14ac:dyDescent="0.25">
      <c r="A11" t="str">
        <v>Change Management: Navigate the Future</v>
      </c>
    </row>
    <row r="12" spans="1:1" x14ac:dyDescent="0.25">
      <c r="A12" t="str">
        <v>Creative Problem-Solving: Think Beyond the Linear</v>
      </c>
    </row>
    <row r="13" spans="1:1" x14ac:dyDescent="0.25">
      <c r="A13" t="str">
        <v>Developing Your EQ to RISE (Reach, Inspire, Serve, and Engage)</v>
      </c>
    </row>
    <row r="14" spans="1:1" x14ac:dyDescent="0.25">
      <c r="A14" t="str">
        <v xml:space="preserve">Developing Your EQ to RISE (Reach, Inspire, Serve, and Engage) (Beyond Boss Mode from Control to co-elevation) </v>
      </c>
    </row>
    <row r="15" spans="1:1" x14ac:dyDescent="0.25">
      <c r="A15" t="str">
        <v>Hybrid Agility: Blend Traditional and Adaptive Methods</v>
      </c>
    </row>
    <row r="16" spans="1:1" x14ac:dyDescent="0.25">
      <c r="A16" t="str">
        <v>How to Capture Customer Requirements and Develop Project Scope</v>
      </c>
    </row>
    <row r="17" spans="1:1" x14ac:dyDescent="0.25">
      <c r="A17" t="str">
        <v>How to Think Strategically and Apply Business Acumen</v>
      </c>
    </row>
    <row r="18" spans="1:1" x14ac:dyDescent="0.25">
      <c r="A18" t="str">
        <v>Influencing Without Authority</v>
      </c>
    </row>
    <row r="19" spans="1:1" x14ac:dyDescent="0.25">
      <c r="A19" t="str">
        <v>Leading Strategic Initiatives (Program Management)</v>
      </c>
    </row>
    <row r="20" spans="1:1" x14ac:dyDescent="0.25">
      <c r="A20" t="str">
        <v>Managing the Human Side of Projects</v>
      </c>
    </row>
    <row r="21" spans="1:1" x14ac:dyDescent="0.25">
      <c r="A21" t="str">
        <v>Scope Management Secrets</v>
      </c>
    </row>
    <row r="22" spans="1:1" x14ac:dyDescent="0.25">
      <c r="A22" t="str">
        <v>Value Management – Designed, Built, and Operationalized for Success</v>
      </c>
    </row>
    <row r="23" spans="1:1" x14ac:dyDescent="0.25">
      <c r="A23" t="str">
        <v>Measure What Matters: Track Benefits Realization</v>
      </c>
    </row>
    <row r="24" spans="1:1" x14ac:dyDescent="0.25">
      <c r="A24" t="str">
        <v>Negotiate to Win: Build Partnerships, Secure Resources</v>
      </c>
    </row>
    <row r="25" spans="1:1" x14ac:dyDescent="0.25">
      <c r="A25" t="str">
        <v>Lead Through Uncertainty: Next-Gen Communication Skills</v>
      </c>
    </row>
    <row r="26" spans="1:1" x14ac:dyDescent="0.25">
      <c r="A26" t="str">
        <v>Orchestrate Total Success: People, Projects, Change</v>
      </c>
    </row>
    <row r="27" spans="1:1" x14ac:dyDescent="0.25">
      <c r="A27" t="str">
        <v>Proactive Risk Management</v>
      </c>
    </row>
    <row r="28" spans="1:1" x14ac:dyDescent="0.25">
      <c r="A28" t="str">
        <v>Program Management Adaptive Practices</v>
      </c>
    </row>
    <row r="29" spans="1:1" x14ac:dyDescent="0.25">
      <c r="A29" t="str">
        <v>Program Management Master Class</v>
      </c>
    </row>
    <row r="30" spans="1:1" x14ac:dyDescent="0.25">
      <c r="A30" t="str">
        <v>From PMBOK® to Practice: Building Your PM Competency Foundation</v>
      </c>
    </row>
    <row r="31" spans="1:1" x14ac:dyDescent="0.25">
      <c r="A31" t="str">
        <v>Change Acceleration: Simplify and Succeed</v>
      </c>
    </row>
    <row r="32" spans="1:1" x14ac:dyDescent="0.25">
      <c r="A32" t="str">
        <v>Solve the Problem, Not the Symptom</v>
      </c>
    </row>
    <row r="33" spans="1:1" x14ac:dyDescent="0.25">
      <c r="A33" t="str">
        <v>Strategic Portfolio Management</v>
      </c>
    </row>
    <row r="34" spans="1:1" x14ac:dyDescent="0.25">
      <c r="A34" t="str">
        <v>Drive Digital Transformation at Scale</v>
      </c>
    </row>
    <row r="35" spans="1:1" x14ac:dyDescent="0.25">
      <c r="A35" t="str">
        <v>Evolve Your PMO</v>
      </c>
    </row>
    <row r="36" spans="1:1" x14ac:dyDescent="0.25">
      <c r="A36" t="str">
        <v>Agile Leadership for Digital Transformation</v>
      </c>
    </row>
    <row r="37" spans="1:1" x14ac:dyDescent="0.25">
      <c r="A37" t="str">
        <v>Leadership Brilliance: Unlock Your Confidence and Courage</v>
      </c>
    </row>
    <row r="38" spans="1:1" x14ac:dyDescent="0.25">
      <c r="A38" t="str">
        <v>PM Tools &amp; Techniques: Facilitate Creative Solutions</v>
      </c>
    </row>
    <row r="39" spans="1:1" x14ac:dyDescent="0.25">
      <c r="A39" t="str">
        <v xml:space="preserve">  Communication GPS: Keep Your Project on Track</v>
      </c>
    </row>
    <row r="40" spans="1:1" x14ac:dyDescent="0.25">
      <c r="A40" t="str">
        <v>Communication GPS: Keep Your Project on Track</v>
      </c>
    </row>
    <row r="41" spans="1:1" x14ac:dyDescent="0.25">
      <c r="A41" t="str">
        <v>Business Analysis Strategies: Enable Project Success</v>
      </c>
    </row>
    <row r="42" spans="1:1" x14ac:dyDescent="0.25">
      <c r="A42" t="str">
        <v>Hybrid Project Management: The Best of Both Worlds</v>
      </c>
    </row>
    <row r="43" spans="1:1" x14ac:dyDescent="0.25">
      <c r="A43" t="str">
        <v>Become a Changemaker: Transform Organizations</v>
      </c>
    </row>
    <row r="44" spans="1:1" x14ac:dyDescent="0.25">
      <c r="A44" t="str">
        <v>Governance That Works: Psychology, Strategy and Tools</v>
      </c>
    </row>
    <row r="45" spans="1:1" x14ac:dyDescent="0.25">
      <c r="A45" t="str">
        <v>Master the Principles: Accelerate Project Success</v>
      </c>
    </row>
    <row r="46" spans="1:1" x14ac:dyDescent="0.25">
      <c r="A46" t="str">
        <v>Change Management for Project Success</v>
      </c>
    </row>
    <row r="47" spans="1:1" x14ac:dyDescent="0.25">
      <c r="A47" t="str">
        <v>Psychological Safety at Work</v>
      </c>
    </row>
    <row r="48" spans="1:1" x14ac:dyDescent="0.25">
      <c r="A48" t="str">
        <v>Adaptive Project Management</v>
      </c>
    </row>
    <row r="49" spans="1:1" x14ac:dyDescent="0.25">
      <c r="A49" t="str">
        <v>Thrive in the AI Era: Future-Ready PM Skills</v>
      </c>
    </row>
    <row r="50" spans="1:1" x14ac:dyDescent="0.25">
      <c r="A50" t="str">
        <v>Enterprise Risk Management: Master Complex Projects</v>
      </c>
    </row>
    <row r="51" spans="1:1" x14ac:dyDescent="0.25">
      <c r="A51" t="str">
        <v>Cognitive Diversity: Leverage Your Thinking Style</v>
      </c>
    </row>
    <row r="52" spans="1:1" x14ac:dyDescent="0.25">
      <c r="A52" t="str">
        <v>AI for Strategic Decisions: Leveraging Analysis</v>
      </c>
    </row>
    <row r="53" spans="1:1" x14ac:dyDescent="0.25">
      <c r="A53" t="str">
        <v>Next-Gen PMO: Build for Uncertainty</v>
      </c>
    </row>
    <row r="54" spans="1:1" x14ac:dyDescent="0.25">
      <c r="A54" t="str">
        <v>Artificial Intelligence-Powered Project Excellence: Roadmaps, Success Strategies, and Practical Tools</v>
      </c>
    </row>
    <row r="55" spans="1:1" x14ac:dyDescent="0.25">
      <c r="A55" t="str">
        <v>The Engaged, Empowered, and Happy Stakeholder </v>
      </c>
    </row>
    <row r="56" spans="1:1" x14ac:dyDescent="0.25">
      <c r="A56" t="str">
        <v>Power Skills: Lead, Influence, and Navigate</v>
      </c>
    </row>
    <row r="57" spans="1:1" x14ac:dyDescent="0.25">
      <c r="A57" t="str">
        <v>Artificial Intelligence Applied Skills: Unlocking Project Automation and Efficiency Gains</v>
      </c>
    </row>
    <row r="58" spans="1:1" x14ac:dyDescent="0.25">
      <c r="A58" t="str">
        <v>Project Management Foundations: Launch Your Success</v>
      </c>
    </row>
    <row r="59" spans="1:1" x14ac:dyDescent="0.25">
      <c r="A59" t="str">
        <v>Courageous Sponsorship</v>
      </c>
    </row>
    <row r="60" spans="1:1" x14ac:dyDescent="0.25">
      <c r="A60" t="str">
        <v>Empowering Leaders to Execute Strategically</v>
      </c>
    </row>
    <row r="61" spans="1:1" x14ac:dyDescent="0.25">
      <c r="A61" t="str">
        <v>Embracing AI in your Projects</v>
      </c>
    </row>
    <row r="62" spans="1:1" x14ac:dyDescent="0.25">
      <c r="A62" t="str">
        <v>Project TLC:  Teamwork, Leadership, Communications</v>
      </c>
    </row>
    <row r="63" spans="1:1" x14ac:dyDescent="0.25">
      <c r="A63" t="str">
        <v>AI Agents for Project Excellence</v>
      </c>
    </row>
    <row r="64" spans="1:1" x14ac:dyDescent="0.25">
      <c r="A64" t="str">
        <v>Risk Management Essentials</v>
      </c>
    </row>
    <row r="65" spans="1:1" x14ac:dyDescent="0.25">
      <c r="A65" t="str">
        <v>Lead with Emotional Intelligence</v>
      </c>
    </row>
    <row r="66" spans="1:1" x14ac:dyDescent="0.25">
      <c r="A66" t="str">
        <v>Leading Remote Teams</v>
      </c>
    </row>
    <row r="67" spans="1:1" x14ac:dyDescent="0.25">
      <c r="A67" t="str">
        <v>AI Ethics for Project Managers</v>
      </c>
    </row>
    <row r="68" spans="1:1" x14ac:dyDescent="0.25">
      <c r="A68" t="str">
        <v>Master Business Acumen Part 1: Become Business-Savvy</v>
      </c>
    </row>
    <row r="69" spans="1:1" x14ac:dyDescent="0.25">
      <c r="A69" t="str">
        <v>Master Business Acumen Part 2: Drive Business Value</v>
      </c>
    </row>
    <row r="70" spans="1:1" x14ac:dyDescent="0.25">
      <c r="A70" t="str">
        <v>The VMO Master Class</v>
      </c>
    </row>
    <row r="71" spans="1:1" x14ac:dyDescent="0.25">
      <c r="A71" t="str">
        <v>Project TLC Cohort (need to resolve 5 week schedule)</v>
      </c>
    </row>
    <row r="72" spans="1:1" x14ac:dyDescent="0.25">
      <c r="A72" t="str">
        <v>Leading with AI for Project Managers</v>
      </c>
    </row>
    <row r="73" spans="1:1" x14ac:dyDescent="0.25">
      <c r="A73" t="str">
        <v>Plan and Control: Project Management Foundations</v>
      </c>
    </row>
    <row r="74" spans="1:1" x14ac:dyDescent="0.25">
      <c r="A74" t="str">
        <v>Project Risk Mastery: Anticipate and Respond</v>
      </c>
    </row>
    <row r="75" spans="1:1" x14ac:dyDescent="0.25">
      <c r="A75" t="str">
        <v>Lead Anywhere: Master Matrix and Remote Teams</v>
      </c>
    </row>
    <row r="76" spans="1:1" x14ac:dyDescent="0.25">
      <c r="A76" t="str">
        <v xml:space="preserve"> Influencing Without Authority Interactive Briefing</v>
      </c>
    </row>
    <row r="77" spans="1:1" x14ac:dyDescent="0.25">
      <c r="A77" t="str">
        <v>Influencing Without Authority Interactive Briefing</v>
      </c>
    </row>
    <row r="78" spans="1:1" x14ac:dyDescent="0.25">
      <c r="A78" t="str">
        <v>Disciplined Agile Foundations: Approaches for Team Agility</v>
      </c>
    </row>
    <row r="79" spans="1:1" x14ac:dyDescent="0.25">
      <c r="A79" t="str">
        <v>Human Design Pattern Thinking</v>
      </c>
    </row>
    <row r="80" spans="1:1" x14ac:dyDescent="0.25">
      <c r="A80" t="str">
        <v>Microsoft 365 Copilot: AI for PM Productivity</v>
      </c>
    </row>
    <row r="81" spans="1:1" x14ac:dyDescent="0.25">
      <c r="A81" t="str">
        <v xml:space="preserve">AI for People-First Project Management </v>
      </c>
    </row>
    <row r="82" spans="1:1" x14ac:dyDescent="0.25">
      <c r="A82" t="str">
        <v>Rise Through Resilience</v>
      </c>
    </row>
    <row r="83" spans="1:1" x14ac:dyDescent="0.25">
      <c r="A83" t="str">
        <v>Implement a Strategic PMO: Drive Business Value</v>
      </c>
    </row>
    <row r="84" spans="1:1" x14ac:dyDescent="0.25">
      <c r="A84" t="str">
        <v>Adaptive PMO: Mastering Agile Transformation</v>
      </c>
    </row>
    <row r="85" spans="1:1" x14ac:dyDescent="0.25">
      <c r="A85" t="str">
        <v>The Adaptive PMO: Mastering Agile Transformation</v>
      </c>
    </row>
    <row r="86" spans="1:1" x14ac:dyDescent="0.25">
      <c r="A86" t="str">
        <v>AI Applications: Future-Proofing your PMO</v>
      </c>
    </row>
    <row r="87" spans="1:1" x14ac:dyDescent="0.25">
      <c r="A87" t="str">
        <v xml:space="preserve">Construction Execution Planning </v>
      </c>
    </row>
    <row r="88" spans="1:1" x14ac:dyDescent="0.25">
      <c r="A88" t="str">
        <v>NEW! Construction Technology and Innovation</v>
      </c>
    </row>
    <row r="89" spans="1:1" x14ac:dyDescent="0.25">
      <c r="A89" t="str">
        <v xml:space="preserve"> Construction Performance and Materials Management </v>
      </c>
    </row>
    <row r="90" spans="1:1" x14ac:dyDescent="0.25">
      <c r="A90" t="str">
        <v>NEW! Leading AI-enabled Product Development</v>
      </c>
    </row>
    <row r="91" spans="1:1" x14ac:dyDescent="0.25">
      <c r="A91" t="str">
        <v xml:space="preserve">Analyst’s Guide to Gathering Product and Project Requirements </v>
      </c>
    </row>
    <row r="92" spans="1:1" x14ac:dyDescent="0.25">
      <c r="A92" t="str">
        <v>Leading Change that Sticks; Drive Adoption and Results</v>
      </c>
    </row>
    <row r="93" spans="1:1" x14ac:dyDescent="0.25">
      <c r="A93" t="str">
        <v>Developing High Performing Agile Teams</v>
      </c>
    </row>
    <row r="94" spans="1:1" x14ac:dyDescent="0.25">
      <c r="A94" t="str">
        <v>Leadership Discovery of your Value and Reputation</v>
      </c>
    </row>
    <row r="95" spans="1:1" x14ac:dyDescent="0.25">
      <c r="A95" t="str">
        <v>Mastering Adaptability for Modern Project Success</v>
      </c>
    </row>
    <row r="96" spans="1:1" x14ac:dyDescent="0.25">
      <c r="A96" t="str">
        <v>AI Change Management</v>
      </c>
    </row>
    <row r="97" spans="1:1" x14ac:dyDescent="0.25">
      <c r="A97" t="str">
        <v>Stakeholder Analysis for a Meaningful Engagement </v>
      </c>
    </row>
    <row r="98" spans="1:1" x14ac:dyDescent="0.25">
      <c r="A98" t="str">
        <v>Human Pattern Design Thinking</v>
      </c>
    </row>
    <row r="99" spans="1:1" x14ac:dyDescent="0.25">
      <c r="A99" t="str">
        <v>OPEN</v>
      </c>
    </row>
    <row r="100" spans="1:1" x14ac:dyDescent="0.25">
      <c r="A100" t="str">
        <v>ACP Skills</v>
      </c>
    </row>
    <row r="101" spans="1:1" x14ac:dyDescent="0.25">
      <c r="A101" t="str">
        <v>PMP Skills</v>
      </c>
    </row>
    <row r="102" spans="1:1" x14ac:dyDescent="0.25">
      <c r="A10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26D8-4484-42F7-A2C4-BD05C849D079}">
  <sheetPr codeName="Sheet11">
    <tabColor rgb="FF00B050"/>
  </sheetPr>
  <dimension ref="A1:A13"/>
  <sheetViews>
    <sheetView workbookViewId="0">
      <selection activeCell="M11" sqref="M11"/>
    </sheetView>
  </sheetViews>
  <sheetFormatPr defaultRowHeight="15" x14ac:dyDescent="0.25"/>
  <sheetData>
    <row r="1" spans="1:1" x14ac:dyDescent="0.25">
      <c r="A1" t="s">
        <v>507</v>
      </c>
    </row>
    <row r="3" spans="1:1" x14ac:dyDescent="0.25">
      <c r="A3" t="s">
        <v>508</v>
      </c>
    </row>
    <row r="5" spans="1:1" x14ac:dyDescent="0.25">
      <c r="A5" t="s">
        <v>511</v>
      </c>
    </row>
    <row r="6" spans="1:1" x14ac:dyDescent="0.25">
      <c r="A6" t="s">
        <v>512</v>
      </c>
    </row>
    <row r="7" spans="1:1" x14ac:dyDescent="0.25">
      <c r="A7" t="s">
        <v>513</v>
      </c>
    </row>
    <row r="8" spans="1:1" x14ac:dyDescent="0.25">
      <c r="A8" t="s">
        <v>514</v>
      </c>
    </row>
    <row r="9" spans="1:1" x14ac:dyDescent="0.25">
      <c r="A9" t="s">
        <v>517</v>
      </c>
    </row>
    <row r="10" spans="1:1" x14ac:dyDescent="0.25">
      <c r="A10" t="s">
        <v>518</v>
      </c>
    </row>
    <row r="12" spans="1:1" x14ac:dyDescent="0.25">
      <c r="A12" t="s">
        <v>515</v>
      </c>
    </row>
    <row r="13" spans="1:1" x14ac:dyDescent="0.25">
      <c r="A13" t="s">
        <v>516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38FE-A49D-4A40-9842-6C41CFCA6478}">
  <sheetPr codeName="Sheet12">
    <tabColor rgb="FF00B050"/>
  </sheetPr>
  <dimension ref="A1:A16"/>
  <sheetViews>
    <sheetView tabSelected="1" workbookViewId="0">
      <selection activeCell="M13" sqref="M13"/>
    </sheetView>
  </sheetViews>
  <sheetFormatPr defaultRowHeight="15" x14ac:dyDescent="0.25"/>
  <sheetData>
    <row r="1" spans="1:1" x14ac:dyDescent="0.25">
      <c r="A1" t="s">
        <v>469</v>
      </c>
    </row>
    <row r="2" spans="1:1" x14ac:dyDescent="0.25">
      <c r="A2" t="s">
        <v>470</v>
      </c>
    </row>
    <row r="3" spans="1:1" x14ac:dyDescent="0.25">
      <c r="A3" t="s">
        <v>471</v>
      </c>
    </row>
    <row r="4" spans="1:1" x14ac:dyDescent="0.25">
      <c r="A4" t="s">
        <v>475</v>
      </c>
    </row>
    <row r="5" spans="1:1" x14ac:dyDescent="0.25">
      <c r="A5" t="s">
        <v>437</v>
      </c>
    </row>
    <row r="6" spans="1:1" x14ac:dyDescent="0.25">
      <c r="A6" t="s">
        <v>307</v>
      </c>
    </row>
    <row r="7" spans="1:1" x14ac:dyDescent="0.25">
      <c r="A7" t="s">
        <v>450</v>
      </c>
    </row>
    <row r="8" spans="1:1" x14ac:dyDescent="0.25">
      <c r="A8" t="s">
        <v>190</v>
      </c>
    </row>
    <row r="9" spans="1:1" x14ac:dyDescent="0.25">
      <c r="A9" t="s">
        <v>510</v>
      </c>
    </row>
    <row r="10" spans="1:1" x14ac:dyDescent="0.25">
      <c r="A10" s="263" t="s">
        <v>519</v>
      </c>
    </row>
    <row r="11" spans="1:1" x14ac:dyDescent="0.25">
      <c r="A11" t="s">
        <v>520</v>
      </c>
    </row>
    <row r="12" spans="1:1" x14ac:dyDescent="0.25">
      <c r="A12" t="s">
        <v>521</v>
      </c>
    </row>
    <row r="13" spans="1:1" x14ac:dyDescent="0.25">
      <c r="A13" t="s">
        <v>522</v>
      </c>
    </row>
    <row r="14" spans="1:1" x14ac:dyDescent="0.25">
      <c r="A14" t="s">
        <v>523</v>
      </c>
    </row>
    <row r="15" spans="1:1" x14ac:dyDescent="0.25">
      <c r="A15" t="s">
        <v>524</v>
      </c>
    </row>
    <row r="16" spans="1:1" x14ac:dyDescent="0.25">
      <c r="A16"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Data</vt:lpstr>
      <vt:lpstr>Courses</vt:lpstr>
      <vt:lpstr>Unique Courses Dyna</vt:lpstr>
      <vt:lpstr>Unique Courses Static</vt:lpstr>
      <vt:lpstr>CourseList0.0</vt:lpstr>
      <vt:lpstr>CourseList0.1</vt:lpstr>
      <vt:lpstr>CourseList0.2</vt:lpstr>
      <vt:lpstr>CourseList0.3</vt:lpstr>
      <vt:lpstr>Instructor Check</vt:lpstr>
      <vt:lpstr>Course Check</vt:lpstr>
      <vt:lpstr>dev notes</vt:lpstr>
      <vt:lpstr>Important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Wasilik</dc:creator>
  <cp:lastModifiedBy>Oscar Wasilik</cp:lastModifiedBy>
  <dcterms:created xsi:type="dcterms:W3CDTF">2025-12-07T05:59:51Z</dcterms:created>
  <dcterms:modified xsi:type="dcterms:W3CDTF">2026-01-02T03:29:00Z</dcterms:modified>
</cp:coreProperties>
</file>